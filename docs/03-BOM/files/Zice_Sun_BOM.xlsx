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"/>
    <numFmt numFmtId="165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9" customWidth="1" min="3" max="3"/>
    <col width="9" customWidth="1" min="4" max="4"/>
    <col width="10" customWidth="1" min="5" max="5"/>
    <col width="10" customWidth="1" min="6" max="6"/>
    <col width="18" customWidth="1" min="7" max="7"/>
    <col width="20" customWidth="1" min="8" max="8"/>
    <col width="16" customWidth="1" min="9" max="9"/>
    <col width="20" customWidth="1" min="10" max="10"/>
    <col width="40" customWidth="1" min="11" max="11"/>
    <col width="34" customWidth="1" min="12" max="12"/>
    <col width="50" customWidth="1" min="13" max="13"/>
  </cols>
  <sheetData>
    <row r="1">
      <c r="A1" s="1" t="inlineStr">
        <is>
          <t>GripRx force sensing board: Bill of Materials (Zice Sun, Team 103, 10/30/2026)</t>
        </is>
      </c>
    </row>
    <row r="2">
      <c r="A2" s="2" t="inlineStr">
        <is>
          <t>Part Name/Description</t>
        </is>
      </c>
      <c r="B2" s="2" t="inlineStr">
        <is>
          <t>Ref Designators</t>
        </is>
      </c>
      <c r="C2" s="2" t="inlineStr">
        <is>
          <t>Qty/Board</t>
        </is>
      </c>
      <c r="D2" s="2" t="inlineStr">
        <is>
          <t>Order Qty</t>
        </is>
      </c>
      <c r="E2" s="2" t="inlineStr">
        <is>
          <t>Unit Cost</t>
        </is>
      </c>
      <c r="F2" s="2" t="inlineStr">
        <is>
          <t>Total Cost</t>
        </is>
      </c>
      <c r="G2" s="2" t="inlineStr">
        <is>
          <t>Manufacturer</t>
        </is>
      </c>
      <c r="H2" s="2" t="inlineStr">
        <is>
          <t>Manufacturer #</t>
        </is>
      </c>
      <c r="I2" s="2" t="inlineStr">
        <is>
          <t>Vendor</t>
        </is>
      </c>
      <c r="J2" s="2" t="inlineStr">
        <is>
          <t>Vendor Part #</t>
        </is>
      </c>
      <c r="K2" s="2" t="inlineStr">
        <is>
          <t>Vendor Link</t>
        </is>
      </c>
      <c r="L2" s="2" t="inlineStr">
        <is>
          <t>Datasheet</t>
        </is>
      </c>
      <c r="M2" s="2" t="inlineStr">
        <is>
          <t>Notes</t>
        </is>
      </c>
    </row>
    <row r="3">
      <c r="A3" t="inlineStr">
        <is>
          <t>Instrumentation amplifier, DIP-16</t>
        </is>
      </c>
      <c r="B3" t="inlineStr">
        <is>
          <t>U3</t>
        </is>
      </c>
      <c r="C3" t="n">
        <v>1</v>
      </c>
      <c r="D3" t="n">
        <v>2</v>
      </c>
      <c r="E3" s="3" t="n">
        <v>12.78</v>
      </c>
      <c r="F3" s="4">
        <f>ROUND(D3*E3,2)</f>
        <v/>
      </c>
      <c r="G3" t="inlineStr">
        <is>
          <t>Texas Instruments</t>
        </is>
      </c>
      <c r="H3" t="inlineStr">
        <is>
          <t>INA125P</t>
        </is>
      </c>
      <c r="I3" t="inlineStr">
        <is>
          <t>Digi-Key</t>
        </is>
      </c>
      <c r="J3" t="inlineStr">
        <is>
          <t>INA125P-ND</t>
        </is>
      </c>
      <c r="K3" t="inlineStr">
        <is>
          <t>https://www.digikey.com/en/products/detail/texas-instruments/INA125P/254670</t>
        </is>
      </c>
      <c r="L3" t="inlineStr">
        <is>
          <t>datasheets/U3_INA125.pdf</t>
        </is>
      </c>
      <c r="M3" t="inlineStr">
        <is>
          <t>Socketed, so one chip moves from the breadboard to the PCB; 1 spare</t>
        </is>
      </c>
    </row>
    <row r="4">
      <c r="A4" t="inlineStr">
        <is>
          <t>TO-220 clip-on heatsink, 24 °C/W</t>
        </is>
      </c>
      <c r="B4" t="inlineStr">
        <is>
          <t>U1 heatsink</t>
        </is>
      </c>
      <c r="C4" t="n">
        <v>1</v>
      </c>
      <c r="D4" t="n">
        <v>2</v>
      </c>
      <c r="E4" s="3" t="n">
        <v>0.36</v>
      </c>
      <c r="F4" s="4">
        <f>ROUND(D4*E4,2)</f>
        <v/>
      </c>
      <c r="G4" t="inlineStr">
        <is>
          <t>Boyd</t>
        </is>
      </c>
      <c r="H4" t="inlineStr">
        <is>
          <t>507302B00000G</t>
        </is>
      </c>
      <c r="I4" t="inlineStr">
        <is>
          <t>Digi-Key</t>
        </is>
      </c>
      <c r="J4" t="inlineStr">
        <is>
          <t>HS115-ND</t>
        </is>
      </c>
      <c r="K4" t="inlineStr">
        <is>
          <t>https://www.digikey.com/en/products/detail/boyd-laconia-llc/507302B00000G/5849</t>
        </is>
      </c>
      <c r="L4" t="inlineStr">
        <is>
          <t>datasheets/U1_Heatsink_Boyd_507302B00000G.pdf</t>
        </is>
      </c>
      <c r="M4" t="inlineStr">
        <is>
          <t>L7805 dissipates about 1.8 W (power budget)</t>
        </is>
      </c>
    </row>
    <row r="5">
      <c r="A5" t="inlineStr">
        <is>
          <t>Terminal block, 4 positions, 5.08 mm, load cell wires</t>
        </is>
      </c>
      <c r="B5" t="inlineStr">
        <is>
          <t>J4</t>
        </is>
      </c>
      <c r="C5" t="n">
        <v>1</v>
      </c>
      <c r="D5" t="n">
        <v>2</v>
      </c>
      <c r="E5" s="3" t="n">
        <v>1.25</v>
      </c>
      <c r="F5" s="4">
        <f>ROUND(D5*E5,2)</f>
        <v/>
      </c>
      <c r="G5" t="inlineStr">
        <is>
          <t>On Shore Technology</t>
        </is>
      </c>
      <c r="H5" t="inlineStr">
        <is>
          <t>OSTTE040161</t>
        </is>
      </c>
      <c r="I5" t="inlineStr">
        <is>
          <t>Digi-Key</t>
        </is>
      </c>
      <c r="J5" t="inlineStr">
        <is>
          <t>ED2637-ND</t>
        </is>
      </c>
      <c r="K5" t="inlineStr">
        <is>
          <t>https://www.digikey.com/en/products/detail/on-shore-technology-inc/OSTTE040161/614586</t>
        </is>
      </c>
      <c r="L5" t="inlineStr">
        <is>
          <t>datasheets/J4_OSTTExx0161.pdf</t>
        </is>
      </c>
      <c r="M5" t="inlineStr">
        <is>
          <t>PCB only (load cell wires go straight into the breadboard); 1 spare</t>
        </is>
      </c>
    </row>
    <row r="6">
      <c r="A6" t="inlineStr">
        <is>
          <t>Shrouded box header, 2 x 4, 2.54 mm, ribbon to UI and motor boards</t>
        </is>
      </c>
      <c r="B6" t="inlineStr">
        <is>
          <t>J1, J2</t>
        </is>
      </c>
      <c r="C6" t="n">
        <v>2</v>
      </c>
      <c r="D6" t="n">
        <v>3</v>
      </c>
      <c r="E6" s="3" t="n">
        <v>1.03</v>
      </c>
      <c r="F6" s="4">
        <f>ROUND(D6*E6,2)</f>
        <v/>
      </c>
      <c r="G6" t="inlineStr">
        <is>
          <t>Würth Elektronik</t>
        </is>
      </c>
      <c r="H6" t="inlineStr">
        <is>
          <t>61200821621</t>
        </is>
      </c>
      <c r="I6" t="inlineStr">
        <is>
          <t>Digi-Key</t>
        </is>
      </c>
      <c r="J6" t="inlineStr">
        <is>
          <t>732-5395-ND</t>
        </is>
      </c>
      <c r="K6" t="inlineStr">
        <is>
          <t>https://www.digikey.com/en/products/detail/w%C3%BCrth-elektronik/61200821621/4846916</t>
        </is>
      </c>
      <c r="L6" t="inlineStr">
        <is>
          <t>datasheets/J1_J2_61200821621.pdf</t>
        </is>
      </c>
      <c r="M6" t="inlineStr">
        <is>
          <t>PCB only; jumper wires are used on the breadboard; 1 spare</t>
        </is>
      </c>
    </row>
    <row r="7">
      <c r="A7" t="inlineStr">
        <is>
          <t>Jumper shunt, 2.54 mm</t>
        </is>
      </c>
      <c r="B7" t="inlineStr">
        <is>
          <t>JP1, JP2</t>
        </is>
      </c>
      <c r="C7" t="n">
        <v>2</v>
      </c>
      <c r="D7" t="n">
        <v>10</v>
      </c>
      <c r="E7" s="3" t="n">
        <v>0.029</v>
      </c>
      <c r="F7" s="4">
        <f>ROUND(D7*E7,2)</f>
        <v/>
      </c>
      <c r="G7" t="inlineStr">
        <is>
          <t>Sullins</t>
        </is>
      </c>
      <c r="H7" t="inlineStr">
        <is>
          <t>SPC02SYAN</t>
        </is>
      </c>
      <c r="I7" t="inlineStr">
        <is>
          <t>Digi-Key</t>
        </is>
      </c>
      <c r="J7" t="inlineStr">
        <is>
          <t>S9001-ND</t>
        </is>
      </c>
      <c r="K7" t="inlineStr">
        <is>
          <t>https://www.digikey.com/en/products/detail/sullins-connector-solutions/SPC02SYAN/76375</t>
        </is>
      </c>
      <c r="L7" t="inlineStr">
        <is>
          <t>datasheets/JP_Shunt_SPC02SYAN.pdf</t>
        </is>
      </c>
      <c r="M7" t="inlineStr">
        <is>
          <t>Price break at 10 makes 10 cheaper than 6</t>
        </is>
      </c>
    </row>
    <row r="8">
      <c r="A8" t="inlineStr">
        <is>
          <t>Schottky diode 40 V 3 A, axial, reverse-polarity protection</t>
        </is>
      </c>
      <c r="B8" t="inlineStr">
        <is>
          <t>D4</t>
        </is>
      </c>
      <c r="C8" t="n">
        <v>1</v>
      </c>
      <c r="D8" t="n">
        <v>3</v>
      </c>
      <c r="E8" s="3" t="n">
        <v>0.71</v>
      </c>
      <c r="F8" s="4">
        <f>ROUND(D8*E8,2)</f>
        <v/>
      </c>
      <c r="G8" t="inlineStr">
        <is>
          <t>Taiwan Semiconductor</t>
        </is>
      </c>
      <c r="H8" t="inlineStr">
        <is>
          <t>1N5822</t>
        </is>
      </c>
      <c r="I8" t="inlineStr">
        <is>
          <t>Digi-Key</t>
        </is>
      </c>
      <c r="J8" t="inlineStr">
        <is>
          <t>1801-1N5822CT-ND</t>
        </is>
      </c>
      <c r="K8" t="inlineStr">
        <is>
          <t>https://www.digikey.com/en/products/detail/taiwan-semiconductor-corporation/1N5822/7366597</t>
        </is>
      </c>
      <c r="L8" t="inlineStr">
        <is>
          <t>datasheets/D4_1N5822.pdf</t>
        </is>
      </c>
      <c r="M8" t="inlineStr">
        <is>
          <t>Cut tape</t>
        </is>
      </c>
    </row>
    <row r="9">
      <c r="A9" t="inlineStr">
        <is>
          <t>Ceramic capacitor 0.33 µF 50 V X7R, radial 2.5 mm</t>
        </is>
      </c>
      <c r="B9" t="inlineStr">
        <is>
          <t>C2</t>
        </is>
      </c>
      <c r="C9" t="n">
        <v>1</v>
      </c>
      <c r="D9" t="n">
        <v>3</v>
      </c>
      <c r="E9" s="3" t="n">
        <v>0.35</v>
      </c>
      <c r="F9" s="4">
        <f>ROUND(D9*E9,2)</f>
        <v/>
      </c>
      <c r="G9" t="inlineStr">
        <is>
          <t>TDK</t>
        </is>
      </c>
      <c r="H9" t="inlineStr">
        <is>
          <t>FG14X7R1H334KNT06</t>
        </is>
      </c>
      <c r="I9" t="inlineStr">
        <is>
          <t>Digi-Key</t>
        </is>
      </c>
      <c r="J9" t="inlineStr">
        <is>
          <t>445-173139-1-ND</t>
        </is>
      </c>
      <c r="K9" t="inlineStr">
        <is>
          <t>https://www.digikey.com/en/products/detail/tdk/FG14X7R1H334KNT06/5802753</t>
        </is>
      </c>
      <c r="L9" t="inlineStr">
        <is>
          <t>datasheets/C2_FG14X7R1H334KNT06.pdf</t>
        </is>
      </c>
      <c r="M9" t="inlineStr">
        <is>
          <t>L7805 input capacitor; Digi-Key marks it "not recommended for new design" but in stock; alternate KEMET C320C334K5R5TA</t>
        </is>
      </c>
    </row>
    <row r="10">
      <c r="A10" t="inlineStr">
        <is>
          <t>Ceramic capacitor 1 µF 25 V X7R, radial 5 mm, RC filter</t>
        </is>
      </c>
      <c r="B10" t="inlineStr">
        <is>
          <t>C8</t>
        </is>
      </c>
      <c r="C10" t="n">
        <v>1</v>
      </c>
      <c r="D10" t="n">
        <v>3</v>
      </c>
      <c r="E10" s="3" t="n">
        <v>0.35</v>
      </c>
      <c r="F10" s="4">
        <f>ROUND(D10*E10,2)</f>
        <v/>
      </c>
      <c r="G10" t="inlineStr">
        <is>
          <t>TDK</t>
        </is>
      </c>
      <c r="H10" t="inlineStr">
        <is>
          <t>FG28X7R1E105KRT06</t>
        </is>
      </c>
      <c r="I10" t="inlineStr">
        <is>
          <t>Digi-Key</t>
        </is>
      </c>
      <c r="J10" t="inlineStr">
        <is>
          <t>445-173583-1-ND</t>
        </is>
      </c>
      <c r="K10" t="inlineStr">
        <is>
          <t>https://www.digikey.com/en/products/detail/tdk/FG28X7R1E105KRT06/5803197</t>
        </is>
      </c>
      <c r="L10" t="inlineStr">
        <is>
          <t>datasheets/C8_FG28X7R1E105KRT06.pdf</t>
        </is>
      </c>
      <c r="M10" t="inlineStr">
        <is>
          <t>X7R (not tantalum) so the 10.6 Hz filter is stable; 25 V exceeds the 16 V on the schematic</t>
        </is>
      </c>
    </row>
    <row r="11">
      <c r="A11" t="inlineStr">
        <is>
          <t>Resistor 100 Ω 1 % 1/4 W metal film, INA125P gain resistor</t>
        </is>
      </c>
      <c r="B11" t="inlineStr">
        <is>
          <t>R2</t>
        </is>
      </c>
      <c r="C11" t="n">
        <v>1</v>
      </c>
      <c r="D11" t="n">
        <v>10</v>
      </c>
      <c r="E11" s="3" t="n">
        <v>0.042</v>
      </c>
      <c r="F11" s="4">
        <f>ROUND(D11*E11,2)</f>
        <v/>
      </c>
      <c r="G11" t="inlineStr">
        <is>
          <t>YAGEO</t>
        </is>
      </c>
      <c r="H11" t="inlineStr">
        <is>
          <t>MFR-25FBF52-100R</t>
        </is>
      </c>
      <c r="I11" t="inlineStr">
        <is>
          <t>Digi-Key</t>
        </is>
      </c>
      <c r="J11" t="inlineStr">
        <is>
          <t>100XBK-ND</t>
        </is>
      </c>
      <c r="K11" t="inlineStr">
        <is>
          <t>https://www.digikey.com/en/products/detail/yageo/MFR-25FBF52-100R/12795</t>
        </is>
      </c>
      <c r="L11" t="inlineStr">
        <is>
          <t>datasheets/R2_R5_Yageo_MFR.pdf</t>
        </is>
      </c>
      <c r="M11" t="inlineStr">
        <is>
          <t>1 % sets the gain of 604; 10 cost the same as 4</t>
        </is>
      </c>
    </row>
    <row r="12">
      <c r="A12" t="inlineStr">
        <is>
          <t>Resistor 15 kΩ 1 % 1/4 W metal film, RC filter</t>
        </is>
      </c>
      <c r="B12" t="inlineStr">
        <is>
          <t>R5</t>
        </is>
      </c>
      <c r="C12" t="n">
        <v>1</v>
      </c>
      <c r="D12" t="n">
        <v>10</v>
      </c>
      <c r="E12" s="3" t="n">
        <v>0.042</v>
      </c>
      <c r="F12" s="4">
        <f>ROUND(D12*E12,2)</f>
        <v/>
      </c>
      <c r="G12" t="inlineStr">
        <is>
          <t>YAGEO</t>
        </is>
      </c>
      <c r="H12" t="inlineStr">
        <is>
          <t>MFR-25FBF52-15K</t>
        </is>
      </c>
      <c r="I12" t="inlineStr">
        <is>
          <t>Digi-Key</t>
        </is>
      </c>
      <c r="J12" t="inlineStr">
        <is>
          <t>15.0KXBK-ND</t>
        </is>
      </c>
      <c r="K12" t="inlineStr">
        <is>
          <t>https://www.digikey.com/en/products/detail/yageo/MFR-25FBF52-15K/13252</t>
        </is>
      </c>
      <c r="L12" t="inlineStr">
        <is>
          <t>datasheets/R2_R5_Yageo_MFR.pdf</t>
        </is>
      </c>
      <c r="M12" t="inlineStr">
        <is>
          <t>10 cost the same as 4</t>
        </is>
      </c>
    </row>
    <row r="13">
      <c r="A13" t="inlineStr">
        <is>
          <t>Fuse clip for 5 x 20 mm fuse, PCB mount</t>
        </is>
      </c>
      <c r="B13" t="inlineStr">
        <is>
          <t>F1 holder</t>
        </is>
      </c>
      <c r="C13" t="n">
        <v>2</v>
      </c>
      <c r="D13" t="n">
        <v>5</v>
      </c>
      <c r="E13" s="3" t="n">
        <v>0.438</v>
      </c>
      <c r="F13" s="4">
        <f>ROUND(D13*E13,2)</f>
        <v/>
      </c>
      <c r="G13" t="inlineStr">
        <is>
          <t>Littelfuse</t>
        </is>
      </c>
      <c r="H13" t="inlineStr">
        <is>
          <t>01000056Z</t>
        </is>
      </c>
      <c r="I13" t="inlineStr">
        <is>
          <t>Digi-Key</t>
        </is>
      </c>
      <c r="J13" t="inlineStr">
        <is>
          <t>F3784-ND</t>
        </is>
      </c>
      <c r="K13" t="inlineStr">
        <is>
          <t>https://www.digikey.com/en/products/detail/littelfuse-inc/01000056Z/2498892</t>
        </is>
      </c>
      <c r="L13" t="inlineStr">
        <is>
          <t>datasheets/F1_Littelfuse_01000056Z.pdf</t>
        </is>
      </c>
      <c r="M13" t="inlineStr">
        <is>
          <t>Two clips hold one fuse; PCB only; price break at 5</t>
        </is>
      </c>
    </row>
    <row r="14">
      <c r="A14" t="inlineStr">
        <is>
          <t>Single-point load cell, 50 kg (CZL635-50)</t>
        </is>
      </c>
      <c r="B14" t="inlineStr">
        <is>
          <t>Off-board via J4</t>
        </is>
      </c>
      <c r="C14" t="n">
        <v>1</v>
      </c>
      <c r="D14" t="n">
        <v>2</v>
      </c>
      <c r="E14" s="3" t="n">
        <v>7</v>
      </c>
      <c r="F14" s="4">
        <f>ROUND(D14*E14,2)</f>
        <v/>
      </c>
      <c r="G14" t="inlineStr">
        <is>
          <t>Phidgets</t>
        </is>
      </c>
      <c r="H14" t="inlineStr">
        <is>
          <t>3135_0</t>
        </is>
      </c>
      <c r="I14" t="inlineStr">
        <is>
          <t>Phidgets (out of pocket)</t>
        </is>
      </c>
      <c r="J14" t="inlineStr">
        <is>
          <t>3135_0</t>
        </is>
      </c>
      <c r="K14" t="inlineStr">
        <is>
          <t>https://www.phidgets.com/?prodid=226</t>
        </is>
      </c>
      <c r="L14" t="inlineStr">
        <is>
          <t>datasheets/LoadCell_Phidgets_3135_0_Mechanical.pdf</t>
        </is>
      </c>
      <c r="M14" t="inlineStr">
        <is>
          <t>Same load cell is used on the breadboard and the PCB; 1 spare. Bought out of pocket because a second vendor adds shipping that would push the order over the budget</t>
        </is>
      </c>
    </row>
    <row r="15">
      <c r="A15" t="inlineStr">
        <is>
          <t>IC socket, DIP-16, 7.62 mm</t>
        </is>
      </c>
      <c r="B15" t="inlineStr">
        <is>
          <t>U3 socket</t>
        </is>
      </c>
      <c r="C15" t="n">
        <v>1</v>
      </c>
      <c r="D15" t="n">
        <v>3</v>
      </c>
      <c r="E15" s="3" t="n">
        <v>0</v>
      </c>
      <c r="F15" s="4">
        <f>ROUND(D15*E15,2)</f>
        <v/>
      </c>
      <c r="G15" t="inlineStr"/>
      <c r="H15" t="inlineStr"/>
      <c r="I15" t="inlineStr">
        <is>
          <t>Peralta stock</t>
        </is>
      </c>
      <c r="J15" t="inlineStr">
        <is>
          <t>Course list row 79</t>
        </is>
      </c>
      <c r="K15" t="inlineStr"/>
      <c r="L15" t="inlineStr">
        <is>
          <t>datasheets/U3_Socket_EDxxDT.pdf</t>
        </is>
      </c>
      <c r="M15" t="inlineStr">
        <is>
          <t>PCB socket and spares</t>
        </is>
      </c>
    </row>
    <row r="16">
      <c r="A16" t="inlineStr">
        <is>
          <t>Ceramic capacitor 0.1 µF 50 V</t>
        </is>
      </c>
      <c r="B16" t="inlineStr">
        <is>
          <t>C3, C5, C6, C11</t>
        </is>
      </c>
      <c r="C16" t="n">
        <v>4</v>
      </c>
      <c r="D16" t="n">
        <v>10</v>
      </c>
      <c r="E16" s="3" t="n">
        <v>0</v>
      </c>
      <c r="F16" s="4">
        <f>ROUND(D16*E16,2)</f>
        <v/>
      </c>
      <c r="G16" t="inlineStr"/>
      <c r="H16" t="inlineStr"/>
      <c r="I16" t="inlineStr">
        <is>
          <t>Peralta stock</t>
        </is>
      </c>
      <c r="J16" t="inlineStr">
        <is>
          <t>Course list row 81</t>
        </is>
      </c>
      <c r="K16" t="inlineStr"/>
      <c r="L16" t="inlineStr">
        <is>
          <t>—</t>
        </is>
      </c>
      <c r="M16" t="inlineStr">
        <is>
          <t>C5, C6, C11 are 16 V on the schematic; 50 V parts are fine</t>
        </is>
      </c>
    </row>
    <row r="17">
      <c r="A17" t="inlineStr">
        <is>
          <t>Cartridge fuse 1 A, 5 x 20 mm</t>
        </is>
      </c>
      <c r="B17" t="inlineStr">
        <is>
          <t>F1</t>
        </is>
      </c>
      <c r="C17" t="n">
        <v>1</v>
      </c>
      <c r="D17" t="n">
        <v>4</v>
      </c>
      <c r="E17" s="3" t="n">
        <v>0</v>
      </c>
      <c r="F17" s="4">
        <f>ROUND(D17*E17,2)</f>
        <v/>
      </c>
      <c r="G17" t="inlineStr"/>
      <c r="H17" t="inlineStr"/>
      <c r="I17" t="inlineStr">
        <is>
          <t>Peralta stock</t>
        </is>
      </c>
      <c r="J17" t="inlineStr">
        <is>
          <t>Course list row 85</t>
        </is>
      </c>
      <c r="K17" t="inlineStr"/>
      <c r="L17" t="inlineStr">
        <is>
          <t>—</t>
        </is>
      </c>
      <c r="M17" t="inlineStr">
        <is>
          <t>Normal (fast-acting) fuse, as the instructor advised</t>
        </is>
      </c>
    </row>
    <row r="18">
      <c r="A18" t="inlineStr">
        <is>
          <t>DC barrel jack, 2.1 x 5.5 mm, PCB</t>
        </is>
      </c>
      <c r="B18" t="inlineStr">
        <is>
          <t>J3</t>
        </is>
      </c>
      <c r="C18" t="n">
        <v>1</v>
      </c>
      <c r="D18" t="n">
        <v>3</v>
      </c>
      <c r="E18" s="3" t="n">
        <v>0</v>
      </c>
      <c r="F18" s="4">
        <f>ROUND(D18*E18,2)</f>
        <v/>
      </c>
      <c r="G18" t="inlineStr"/>
      <c r="H18" t="inlineStr"/>
      <c r="I18" t="inlineStr">
        <is>
          <t>Peralta stock</t>
        </is>
      </c>
      <c r="J18" t="inlineStr">
        <is>
          <t>Course list row 64 (PJ-102AH)</t>
        </is>
      </c>
      <c r="K18" t="inlineStr"/>
      <c r="L18" t="inlineStr">
        <is>
          <t>datasheets/J3_PJ-102AH.pdf</t>
        </is>
      </c>
      <c r="M18" t="inlineStr"/>
    </row>
    <row r="19">
      <c r="A19" t="inlineStr">
        <is>
          <t>Male header strip 1 x 40, 2.54 mm, breakaway</t>
        </is>
      </c>
      <c r="B19" t="inlineStr">
        <is>
          <t>J5, JP1, JP2, TP1–TP7</t>
        </is>
      </c>
      <c r="C19" t="inlineStr">
        <is>
          <t>21 pins</t>
        </is>
      </c>
      <c r="D19" t="n">
        <v>2</v>
      </c>
      <c r="E19" s="3" t="n">
        <v>0</v>
      </c>
      <c r="F19" s="4">
        <f>ROUND(D19*E19,2)</f>
        <v/>
      </c>
      <c r="G19" t="inlineStr"/>
      <c r="H19" t="inlineStr"/>
      <c r="I19" t="inlineStr">
        <is>
          <t>Peralta stock</t>
        </is>
      </c>
      <c r="J19" t="inlineStr">
        <is>
          <t>Course list row 75</t>
        </is>
      </c>
      <c r="K19" t="inlineStr"/>
      <c r="L19" t="inlineStr">
        <is>
          <t>datasheets/Header_Sullins_PRPC.pdf</t>
        </is>
      </c>
      <c r="M19" t="inlineStr">
        <is>
          <t>J5 10 + JP1/JP2 4 + TP1–TP7 7 = 21 pins per board</t>
        </is>
      </c>
    </row>
    <row r="20">
      <c r="A20" t="inlineStr">
        <is>
          <t>Female header strip 1 x 40, 2.54 mm, cut to 1 x 28</t>
        </is>
      </c>
      <c r="B20" t="inlineStr">
        <is>
          <t>U2 socket</t>
        </is>
      </c>
      <c r="C20" t="n">
        <v>2</v>
      </c>
      <c r="D20" t="n">
        <v>3</v>
      </c>
      <c r="E20" s="3" t="n">
        <v>0</v>
      </c>
      <c r="F20" s="4">
        <f>ROUND(D20*E20,2)</f>
        <v/>
      </c>
      <c r="G20" t="inlineStr"/>
      <c r="H20" t="inlineStr"/>
      <c r="I20" t="inlineStr">
        <is>
          <t>Peralta stock</t>
        </is>
      </c>
      <c r="J20" t="inlineStr">
        <is>
          <t>Course list row 76</t>
        </is>
      </c>
      <c r="K20" t="inlineStr"/>
      <c r="L20" t="inlineStr">
        <is>
          <t>—</t>
        </is>
      </c>
      <c r="M20" t="inlineStr">
        <is>
          <t>Two 1 x 28 sockets for the Curiosity Nano; one contact is lost at each cut</t>
        </is>
      </c>
    </row>
    <row r="21">
      <c r="A21" t="inlineStr">
        <is>
          <t>Resistor 1 kΩ 1/4 W</t>
        </is>
      </c>
      <c r="B21" t="inlineStr">
        <is>
          <t>R1, R10</t>
        </is>
      </c>
      <c r="C21" t="n">
        <v>2</v>
      </c>
      <c r="D21" t="n">
        <v>0</v>
      </c>
      <c r="E21" s="3" t="n">
        <v>0</v>
      </c>
      <c r="F21" s="4">
        <f>ROUND(D21*E21,2)</f>
        <v/>
      </c>
      <c r="G21" t="inlineStr"/>
      <c r="H21" t="inlineStr"/>
      <c r="I21" t="inlineStr">
        <is>
          <t>Student kit</t>
        </is>
      </c>
      <c r="J21" t="inlineStr"/>
      <c r="K21" t="inlineStr"/>
      <c r="L21" t="inlineStr"/>
      <c r="M21" t="inlineStr">
        <is>
          <t>Owned</t>
        </is>
      </c>
    </row>
    <row r="22">
      <c r="A22" t="inlineStr">
        <is>
          <t>Resistor 330 Ω 1/4 W</t>
        </is>
      </c>
      <c r="B22" t="inlineStr">
        <is>
          <t>R8</t>
        </is>
      </c>
      <c r="C22" t="n">
        <v>1</v>
      </c>
      <c r="D22" t="n">
        <v>0</v>
      </c>
      <c r="E22" s="3" t="n">
        <v>0</v>
      </c>
      <c r="F22" s="4">
        <f>ROUND(D22*E22,2)</f>
        <v/>
      </c>
      <c r="G22" t="inlineStr"/>
      <c r="H22" t="inlineStr"/>
      <c r="I22" t="inlineStr">
        <is>
          <t>Student kit</t>
        </is>
      </c>
      <c r="J22" t="inlineStr"/>
      <c r="K22" t="inlineStr"/>
      <c r="L22" t="inlineStr"/>
      <c r="M22" t="inlineStr">
        <is>
          <t>Owned</t>
        </is>
      </c>
    </row>
    <row r="23">
      <c r="A23" t="inlineStr">
        <is>
          <t>Resistor 10 kΩ 1/4 W</t>
        </is>
      </c>
      <c r="B23" t="inlineStr">
        <is>
          <t>R9, R11</t>
        </is>
      </c>
      <c r="C23" t="n">
        <v>2</v>
      </c>
      <c r="D23" t="n">
        <v>0</v>
      </c>
      <c r="E23" s="3" t="n">
        <v>0</v>
      </c>
      <c r="F23" s="4">
        <f>ROUND(D23*E23,2)</f>
        <v/>
      </c>
      <c r="G23" t="inlineStr"/>
      <c r="H23" t="inlineStr"/>
      <c r="I23" t="inlineStr">
        <is>
          <t>Student kit</t>
        </is>
      </c>
      <c r="J23" t="inlineStr"/>
      <c r="K23" t="inlineStr"/>
      <c r="L23" t="inlineStr"/>
      <c r="M23" t="inlineStr">
        <is>
          <t>Owned</t>
        </is>
      </c>
    </row>
    <row r="24">
      <c r="A24" t="inlineStr">
        <is>
          <t>LED, green, power indicator</t>
        </is>
      </c>
      <c r="B24" t="inlineStr">
        <is>
          <t>D1</t>
        </is>
      </c>
      <c r="C24" t="n">
        <v>1</v>
      </c>
      <c r="D24" t="n">
        <v>0</v>
      </c>
      <c r="E24" s="3" t="n">
        <v>0</v>
      </c>
      <c r="F24" s="4">
        <f>ROUND(D24*E24,2)</f>
        <v/>
      </c>
      <c r="G24" t="inlineStr"/>
      <c r="H24" t="inlineStr"/>
      <c r="I24" t="inlineStr">
        <is>
          <t>Student kit</t>
        </is>
      </c>
      <c r="J24" t="inlineStr"/>
      <c r="K24" t="inlineStr"/>
      <c r="L24" t="inlineStr"/>
      <c r="M24" t="inlineStr">
        <is>
          <t>Owned</t>
        </is>
      </c>
    </row>
    <row r="25">
      <c r="A25" t="inlineStr">
        <is>
          <t>LED, red, debug</t>
        </is>
      </c>
      <c r="B25" t="inlineStr">
        <is>
          <t>D2</t>
        </is>
      </c>
      <c r="C25" t="n">
        <v>1</v>
      </c>
      <c r="D25" t="n">
        <v>0</v>
      </c>
      <c r="E25" s="3" t="n">
        <v>0</v>
      </c>
      <c r="F25" s="4">
        <f>ROUND(D25*E25,2)</f>
        <v/>
      </c>
      <c r="G25" t="inlineStr"/>
      <c r="H25" t="inlineStr"/>
      <c r="I25" t="inlineStr">
        <is>
          <t>Student kit</t>
        </is>
      </c>
      <c r="J25" t="inlineStr"/>
      <c r="K25" t="inlineStr"/>
      <c r="L25" t="inlineStr"/>
      <c r="M25" t="inlineStr">
        <is>
          <t>Owned</t>
        </is>
      </c>
    </row>
    <row r="26">
      <c r="A26" t="inlineStr">
        <is>
          <t>Tactile pushbutton, debug</t>
        </is>
      </c>
      <c r="B26" t="inlineStr">
        <is>
          <t>SW1</t>
        </is>
      </c>
      <c r="C26" t="n">
        <v>1</v>
      </c>
      <c r="D26" t="n">
        <v>0</v>
      </c>
      <c r="E26" s="3" t="n">
        <v>0</v>
      </c>
      <c r="F26" s="4">
        <f>ROUND(D26*E26,2)</f>
        <v/>
      </c>
      <c r="G26" t="inlineStr"/>
      <c r="H26" t="inlineStr"/>
      <c r="I26" t="inlineStr">
        <is>
          <t>Student kit</t>
        </is>
      </c>
      <c r="J26" t="inlineStr"/>
      <c r="K26" t="inlineStr"/>
      <c r="L26" t="inlineStr"/>
      <c r="M26" t="inlineStr">
        <is>
          <t>Owned</t>
        </is>
      </c>
    </row>
    <row r="27">
      <c r="A27" t="inlineStr">
        <is>
          <t>PIC18F57Q43 Curiosity Nano</t>
        </is>
      </c>
      <c r="B27" t="inlineStr">
        <is>
          <t>U2</t>
        </is>
      </c>
      <c r="C27" t="n">
        <v>1</v>
      </c>
      <c r="D27" t="n">
        <v>0</v>
      </c>
      <c r="E27" s="3" t="n">
        <v>0</v>
      </c>
      <c r="F27" s="4">
        <f>ROUND(D27*E27,2)</f>
        <v/>
      </c>
      <c r="G27" t="inlineStr">
        <is>
          <t>Microchip</t>
        </is>
      </c>
      <c r="H27" t="inlineStr">
        <is>
          <t>DM164150</t>
        </is>
      </c>
      <c r="I27" t="inlineStr">
        <is>
          <t>Issued in class</t>
        </is>
      </c>
      <c r="J27" t="inlineStr"/>
      <c r="K27" t="inlineStr"/>
      <c r="L27" t="inlineStr">
        <is>
          <t>datasheets/U2_DM164150_UserGuide.pdf</t>
        </is>
      </c>
      <c r="M27" t="inlineStr">
        <is>
          <t>Not charged</t>
        </is>
      </c>
    </row>
    <row r="28">
      <c r="A28" t="inlineStr">
        <is>
          <t>5 V linear regulator, 1.5 A, TO-220</t>
        </is>
      </c>
      <c r="B28" t="inlineStr">
        <is>
          <t>U1</t>
        </is>
      </c>
      <c r="C28" t="n">
        <v>1</v>
      </c>
      <c r="D28" t="n">
        <v>0</v>
      </c>
      <c r="E28" s="3" t="n">
        <v>0</v>
      </c>
      <c r="F28" s="4">
        <f>ROUND(D28*E28,2)</f>
        <v/>
      </c>
      <c r="G28" t="inlineStr">
        <is>
          <t>STMicroelectronics</t>
        </is>
      </c>
      <c r="H28" t="inlineStr">
        <is>
          <t>L7805ABV-DG</t>
        </is>
      </c>
      <c r="I28" t="inlineStr">
        <is>
          <t>Issued in class</t>
        </is>
      </c>
      <c r="J28" t="inlineStr"/>
      <c r="K28" t="inlineStr"/>
      <c r="L28" t="inlineStr">
        <is>
          <t>datasheets/U1_ST_L78.pdf</t>
        </is>
      </c>
      <c r="M28" t="inlineStr">
        <is>
          <t>Not charged</t>
        </is>
      </c>
    </row>
    <row r="29">
      <c r="A29" t="inlineStr">
        <is>
          <t>9 V 3 A AC/DC wall adapter</t>
        </is>
      </c>
      <c r="B29" t="inlineStr">
        <is>
          <t>Off-board via J3</t>
        </is>
      </c>
      <c r="C29" t="n">
        <v>1</v>
      </c>
      <c r="D29" t="n">
        <v>0</v>
      </c>
      <c r="E29" s="3" t="n">
        <v>0</v>
      </c>
      <c r="F29" s="4">
        <f>ROUND(D29*E29,2)</f>
        <v/>
      </c>
      <c r="G29" t="inlineStr">
        <is>
          <t>BestCH</t>
        </is>
      </c>
      <c r="H29" t="inlineStr">
        <is>
          <t>B09ZTKTLGW</t>
        </is>
      </c>
      <c r="I29" t="inlineStr">
        <is>
          <t>Issued in class</t>
        </is>
      </c>
      <c r="J29" t="inlineStr"/>
      <c r="K29" t="inlineStr"/>
      <c r="L29" t="inlineStr">
        <is>
          <t>—</t>
        </is>
      </c>
      <c r="M29" t="inlineStr">
        <is>
          <t>Not charged</t>
        </is>
      </c>
    </row>
    <row r="30">
      <c r="A30" t="inlineStr">
        <is>
          <t>IDC ribbon socket, 2 x 4, 2.54 mm</t>
        </is>
      </c>
      <c r="B30" t="inlineStr">
        <is>
          <t>Ribbon A and B ends (mate with J1, J2)</t>
        </is>
      </c>
      <c r="C30" t="inlineStr">
        <is>
          <t>—</t>
        </is>
      </c>
      <c r="D30" t="n">
        <v>6</v>
      </c>
      <c r="E30" s="3" t="n">
        <v>2</v>
      </c>
      <c r="F30" s="4">
        <f>ROUND(D30*E30,2)</f>
        <v/>
      </c>
      <c r="G30" t="inlineStr">
        <is>
          <t>Würth Elektronik</t>
        </is>
      </c>
      <c r="H30" t="inlineStr">
        <is>
          <t>61200823021</t>
        </is>
      </c>
      <c r="I30" t="inlineStr">
        <is>
          <t>Digi-Key (out of pocket)</t>
        </is>
      </c>
      <c r="J30" t="inlineStr">
        <is>
          <t>732-5444-ND</t>
        </is>
      </c>
      <c r="K30" t="inlineStr">
        <is>
          <t>https://www.digikey.com/en/products/detail/w%C3%BCrth-elektronik/61200823021/4846918</t>
        </is>
      </c>
      <c r="L30" t="inlineStr">
        <is>
          <t>datasheets/IDC_61200823021.pdf</t>
        </is>
      </c>
      <c r="M30" t="inlineStr">
        <is>
          <t>Team cables; bought out of pocket, not charged</t>
        </is>
      </c>
    </row>
    <row r="31">
      <c r="A31" t="inlineStr">
        <is>
          <t>Flat ribbon cable, 8 conductors</t>
        </is>
      </c>
      <c r="B31" t="inlineStr">
        <is>
          <t>Ribbon A and B</t>
        </is>
      </c>
      <c r="C31" t="inlineStr">
        <is>
          <t>—</t>
        </is>
      </c>
      <c r="D31" t="n">
        <v>0</v>
      </c>
      <c r="E31" s="3" t="n">
        <v>0</v>
      </c>
      <c r="F31" s="4">
        <f>ROUND(D31*E31,2)</f>
        <v/>
      </c>
      <c r="G31" t="inlineStr">
        <is>
          <t>—</t>
        </is>
      </c>
      <c r="H31" t="inlineStr">
        <is>
          <t>—</t>
        </is>
      </c>
      <c r="I31" t="inlineStr">
        <is>
          <t>Lab stock</t>
        </is>
      </c>
      <c r="J31" t="inlineStr">
        <is>
          <t>—</t>
        </is>
      </c>
      <c r="K31" t="inlineStr"/>
      <c r="L31" t="inlineStr"/>
      <c r="M31" t="inlineStr">
        <is>
          <t>Ask the TA</t>
        </is>
      </c>
    </row>
    <row r="33">
      <c r="A33" s="5" t="inlineStr">
        <is>
          <t>Digi-Key total</t>
        </is>
      </c>
      <c r="B33" t="inlineStr"/>
      <c r="C33" t="inlineStr"/>
      <c r="D33" t="inlineStr"/>
      <c r="E33" t="inlineStr"/>
      <c r="F33" s="4">
        <f>SUMIF(I3:I31,"Digi-Key",F3:F31)</f>
        <v/>
      </c>
    </row>
    <row r="34">
      <c r="A34" s="5" t="inlineStr">
        <is>
          <t>Digi-Key shipping + tariff (cart estimate)</t>
        </is>
      </c>
      <c r="B34" t="inlineStr"/>
      <c r="C34" t="inlineStr"/>
      <c r="D34" t="inlineStr"/>
      <c r="E34" t="inlineStr"/>
      <c r="F34" s="4" t="n">
        <v>13.01</v>
      </c>
    </row>
    <row r="35">
      <c r="A35" s="5" t="inlineStr">
        <is>
          <t>Charged to $60 budget</t>
        </is>
      </c>
      <c r="B35" t="inlineStr"/>
      <c r="C35" t="inlineStr"/>
      <c r="D35" t="inlineStr"/>
      <c r="E35" t="inlineStr"/>
      <c r="F35" s="4">
        <f>F33+F34</f>
        <v/>
      </c>
    </row>
    <row r="36">
      <c r="A36" s="5" t="inlineStr">
        <is>
          <t>Remaining</t>
        </is>
      </c>
      <c r="B36" t="inlineStr"/>
      <c r="C36" t="inlineStr"/>
      <c r="D36" t="inlineStr"/>
      <c r="E36" t="inlineStr"/>
      <c r="F36" s="4">
        <f>60-F35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2026-10-31T02:26:44Z</dcterms:created>
  <dcterms:modified xmlns:dcterms="http://purl.org/dc/terms/" xmlns:xsi="http://www.w3.org/2001/XMLSchema-instance" xsi:type="dcterms:W3CDTF">2026-10-31T02:26:44Z</dcterms:modified>
</cp:coreProperties>
</file>