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Empci\Downloads\Zice_BOM_Package\03_Website\docs\03-BOM\files\"/>
    </mc:Choice>
  </mc:AlternateContent>
  <xr:revisionPtr revIDLastSave="0" documentId="13_ncr:1_{2182014E-3CB8-45DF-A1C6-C25888471C6C}" xr6:coauthVersionLast="47" xr6:coauthVersionMax="47" xr10:uidLastSave="{00000000-0000-0000-0000-000000000000}"/>
  <bookViews>
    <workbookView xWindow="-120" yWindow="-120" windowWidth="38640" windowHeight="21120" xr2:uid="{00000000-000D-0000-FFFF-FFFF00000000}"/>
  </bookViews>
  <sheets>
    <sheet name="Purchase Request" sheetId="1" r:id="rId1"/>
    <sheet name="Sheet1" sheetId="2" r:id="rId2"/>
  </sheets>
  <definedNames>
    <definedName name="Accreditation">Sheet1!#REF!</definedName>
    <definedName name="Advertising">Sheet1!#REF!</definedName>
    <definedName name="Audiovisual_Electronic_Equipment_and_Accessories__Non_Capital">Sheet1!#REF!</definedName>
    <definedName name="_xlnm.Print_Area" localSheetId="0">'Purchase Request'!$A$1:$I$39</definedName>
    <definedName name="Z_4F4801AE_CF13_47EB_965F_6A9B2DCE6E42_.wvu.PrintArea" localSheetId="0" hidden="1">'Purchase Request'!$A$27:$H$31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1" l="1"/>
  <c r="A29" i="1"/>
  <c r="I22" i="1"/>
  <c r="I21" i="1"/>
  <c r="I20" i="1"/>
  <c r="I19" i="1"/>
  <c r="I18" i="1"/>
  <c r="I17" i="1"/>
  <c r="I16" i="1"/>
  <c r="I15" i="1"/>
  <c r="I14" i="1"/>
  <c r="I13" i="1"/>
  <c r="I12" i="1"/>
  <c r="I11" i="1"/>
  <c r="I10" i="1"/>
  <c r="I9" i="1"/>
  <c r="I8" i="1"/>
  <c r="I23" i="1" l="1"/>
  <c r="I26" i="1" s="1"/>
</calcChain>
</file>

<file path=xl/sharedStrings.xml><?xml version="1.0" encoding="utf-8"?>
<sst xmlns="http://schemas.openxmlformats.org/spreadsheetml/2006/main" count="193" uniqueCount="152">
  <si>
    <t xml:space="preserve">                   Course/Capstone/eProject/FURI Purchase Request</t>
  </si>
  <si>
    <t>Name of Class or Project:   EGR 304 - Team 103 GripRx (force sensing board)</t>
  </si>
  <si>
    <t>Vendor (one vendor per form):  Peralta 109 lab stock (no purchase)</t>
  </si>
  <si>
    <t>Date</t>
  </si>
  <si>
    <t>Faculty/PI Contact</t>
  </si>
  <si>
    <t>Student Name &amp; Email</t>
  </si>
  <si>
    <t>eProject?            Capstone Project?             Course Project?</t>
  </si>
  <si>
    <t>eProject Industry Sponsor (if applicable)</t>
  </si>
  <si>
    <t>Zane Reynolds</t>
  </si>
  <si>
    <t>Zice Sun zicesun@asu.edu</t>
  </si>
  <si>
    <t xml:space="preserve">                  No                               No                                        Yes</t>
  </si>
  <si>
    <t>n/a</t>
  </si>
  <si>
    <t>A purchasing card is available to check out for local purchases or you may come to Sutton 101 and order your supplies, using this purchasing card.</t>
  </si>
  <si>
    <t>Qty</t>
  </si>
  <si>
    <t>Item # or Quote #</t>
  </si>
  <si>
    <t>Direct Website Link to Product</t>
  </si>
  <si>
    <t>General Description of Item</t>
  </si>
  <si>
    <t>Business Purpose/Benefit for the Purchase</t>
  </si>
  <si>
    <t>Unit Price</t>
  </si>
  <si>
    <t>Line Total</t>
  </si>
  <si>
    <t>12345ABCDE</t>
  </si>
  <si>
    <t>www.thisistheplace.com/12345ABCDE (SAMPLE: PLEASE START ON NEXT LINE)</t>
  </si>
  <si>
    <t>safety goggles</t>
  </si>
  <si>
    <t>protect student/instructor eyes while working
on project; benefit to the University of reducing number of accidents in the lab</t>
  </si>
  <si>
    <t>Course list row 79</t>
  </si>
  <si>
    <t>Course stock planning sheet (Hardware Orders assignment page)</t>
  </si>
  <si>
    <t>IC socket, DIP-16, 7.62 mm</t>
  </si>
  <si>
    <t>U3 socket: force sensing board; Peralta stock, no purchase</t>
  </si>
  <si>
    <t>Course list row 81</t>
  </si>
  <si>
    <t>Ceramic capacitor 0.1 µF 50 V</t>
  </si>
  <si>
    <t>C3, C5, C6, C11: force sensing board; Peralta stock, no purchase</t>
  </si>
  <si>
    <t>Course list row 85</t>
  </si>
  <si>
    <t>Cartridge fuse 1 A, 5 x 20 mm</t>
  </si>
  <si>
    <t>F1: force sensing board; Peralta stock, no purchase</t>
  </si>
  <si>
    <t>Course list row 64 (PJ-102AH)</t>
  </si>
  <si>
    <t>DC barrel jack, 2.1 x 5.5 mm, PCB</t>
  </si>
  <si>
    <t>J3: force sensing board; Peralta stock, no purchase</t>
  </si>
  <si>
    <t>Course list row 75</t>
  </si>
  <si>
    <t>Male header strip 1 x 40, 2.54 mm, breakaway</t>
  </si>
  <si>
    <t>J5, JP1, JP2, TP1–TP7: force sensing board; Peralta stock, no purchase</t>
  </si>
  <si>
    <t>Course list row 76</t>
  </si>
  <si>
    <t>Female header strip 1 x 40, 2.54 mm, cut to 1 x 28</t>
  </si>
  <si>
    <t>U2 socket: force sensing board; Peralta stock, no purchase</t>
  </si>
  <si>
    <t>e</t>
  </si>
  <si>
    <t>Sub-Total</t>
  </si>
  <si>
    <t xml:space="preserve">      Chair or PI Approval: </t>
  </si>
  <si>
    <t xml:space="preserve">Date: </t>
  </si>
  <si>
    <t>Tax</t>
  </si>
  <si>
    <t>Shipping</t>
  </si>
  <si>
    <t>Grand Total</t>
  </si>
  <si>
    <t>Business Purpose/Public Benefit:  (Click on yellow line.  Next, select an option on the drop-down arrow on the right of the box)</t>
  </si>
  <si>
    <t>Project Supplies</t>
  </si>
  <si>
    <t>Student:  Forward completed form to Instructor/Project Mentor for approval</t>
  </si>
  <si>
    <t xml:space="preserve">Mentor/Faculty:  Forward form with email indicating your approval to PolyBizz@asu.edu for processing                                                                                                                                            </t>
  </si>
  <si>
    <t>1. A purchasing card is available to check out for local purchases. 2. You may come to Sutton 101 and place your order online.</t>
  </si>
  <si>
    <t>SECTION BELOW IS FOR OFFICE USE ONLY</t>
  </si>
  <si>
    <t>ORDER PLACED BY / DATE:</t>
  </si>
  <si>
    <t>B.O. NOTIFIED BY / DATE:</t>
  </si>
  <si>
    <t>ORDER RECEIVED BY / DATE:</t>
  </si>
  <si>
    <t xml:space="preserve">STUDENT / INSTRUCTOR NOTIFIED BY / DATE: </t>
  </si>
  <si>
    <t>COST CENTER + PROGRAM/GIFT TO CHARGE:</t>
  </si>
  <si>
    <t>Category</t>
  </si>
  <si>
    <t>Reimbursement Justification</t>
  </si>
  <si>
    <t xml:space="preserve"> </t>
  </si>
  <si>
    <t>Audiovisual Electronic Equipment and Accessories (Non-Capital)</t>
  </si>
  <si>
    <t>Business Purpose:  Non-capital Audiovisual devices, equipment, or accessories purchased to facilitate The Polytechnic School business and operations.</t>
  </si>
  <si>
    <t>Public Benefit:  ASU benefits from this expense as the items purchased allow faculty, staff, and students to conduct video conferencing and/or meetings and discussions with a technological aide to further Polytechnic School business, operations, and maintain partnerships and collaboration with off-campus organizations.</t>
  </si>
  <si>
    <t>Purchase Made Outside Business Hours</t>
  </si>
  <si>
    <t>The items or services purchased were made outside of business hours, most often for immediate use outside of business hours.  It was necessary for the Requestor to make this purchase, as the need for it was imperative.</t>
  </si>
  <si>
    <t>Audiovisual R/M Supplies</t>
  </si>
  <si>
    <t>Business Purpose:  Audiovisual commodity items purchased to maintain Audiovisual equipment.</t>
  </si>
  <si>
    <t>Public Benefit:  ASU benefits from this expense as the items purchased allow staff &amp; students to utilize  functional Audiovisual equipment in order to further classroom, lab, and research project efforts.</t>
  </si>
  <si>
    <t>Items/Service Needed While Off Campus</t>
  </si>
  <si>
    <t>The items or services purchased were needed while the Requestor was doing ASU business off campus and/or in travel status.  The purchase was necessary, and standard ASU purchasing methods were unavailable at the time.</t>
  </si>
  <si>
    <t>Books / Reference Materials</t>
  </si>
  <si>
    <t>Business Purpose:  A set of printed sheets bound together into a volume, printed material, or a digital equivalent that directs a reader or researcher to specific sources of information.</t>
  </si>
  <si>
    <t xml:space="preserve">Public Benefit:  Books/Reference Materials purchased to assist an instructor with a course. ASU benefits from this expense as the textbook or reference materials purchased allow course instructor to facilitate students in meeting requirements of project and class activities.  </t>
  </si>
  <si>
    <t>Standard ASU Purchasing Methods Not Available</t>
  </si>
  <si>
    <t>Due to either a system outage/limitation or a personnel issue, the standard ASU Purchasing methods were unavailable at the time that the Requestor needed this purchase to be made.</t>
  </si>
  <si>
    <t>Credit – Returned Items</t>
  </si>
  <si>
    <t>Business Purpose:  Credit received for returned items.  Problem occurred with product, or the product was not received in a timely manner.</t>
  </si>
  <si>
    <t>Public Benefit:  ASU benefits from this credit as the funds can be used to purchase a replacement item, for other project needs, research activities, or operational needs.</t>
  </si>
  <si>
    <t>Document Printing</t>
  </si>
  <si>
    <t>Business Purpose:  Printing of documents, journals, or other materials for current and future projects.</t>
  </si>
  <si>
    <t>Public Benefit:  This expense ensures that ASU employees and students have proper information when working on research, projects, or operational duties.</t>
  </si>
  <si>
    <t>Electronic Devices – Computers</t>
  </si>
  <si>
    <t>Business Purpose:  Personal computers and accessories having a life expectancy of less than one year or a unit cost of less than $5,000 purchased to equip an office or lab.</t>
  </si>
  <si>
    <t>Public Benefit:  Personal computers are used to equip faculty, staff, and students with the proper tools to conduct university business and daily activities.  ASU benefits from this expense as the computers allow departmental employees and students to perform daily duties.</t>
  </si>
  <si>
    <t>Electronic Devices – Non Capital</t>
  </si>
  <si>
    <t>Business Purpose:  Non-capital Electronic devices purchased for employees and students to perform testing and complete project requirements.</t>
  </si>
  <si>
    <t>Public Benefit:  ASU benefits from this expense as electronic devices allow faculty, staff, and students to complete projects and to participate in research in the field and then import it into classroom.</t>
  </si>
  <si>
    <t>Electronic Equipment – Computer Hardware Supplies</t>
  </si>
  <si>
    <t>Business Purpose:  Keyboard, mouse, flash drives, memory, CD and DVD disks, etc purchased to be used by all departmental employees.</t>
  </si>
  <si>
    <t>Public Benefit:  Computer Hardware supplies are used in day-to-day operations. ASU benefits from this expense as the supplies purchased allow departmental employees to perform general job duties, projects, and research.</t>
  </si>
  <si>
    <t>Electronic Equipment / Accessories</t>
  </si>
  <si>
    <t>Business Purpose:  Non-capital equipment/accessories purchased for employees and students to use in classroom.</t>
  </si>
  <si>
    <t>Public Benefit:  ASU benefits from this expense as the equipment/accessories purchased allow employees to perform daily duties, complete research, and assist students in classroom.</t>
  </si>
  <si>
    <t>Equipment Repair / Maintenance Materials</t>
  </si>
  <si>
    <t>Business Purpose:  Materials purchased to maintain and run existing equipment in the lab.</t>
  </si>
  <si>
    <t>Public Benefit:  Equipment is used in day-to-day lab operations.  ASU benefits from this expense as the supplies purchased allow departmental lab employees and students to perform general lab duties, projects, class activities, and research.</t>
  </si>
  <si>
    <t>Equipment Repair / Maintenance Service</t>
  </si>
  <si>
    <t>Business Purpose:  Service to repair and/or to maintain existing equipment in the lab in order to allow uninterrupted operations.</t>
  </si>
  <si>
    <t>Public Benefit:  Equipment is used in daily lab operations.  ASU benefits from this expense as the equipment repaired and/or maintained  allows departmental lab employees and students to perform general lab duties, projects, class activities, and research.</t>
  </si>
  <si>
    <t>Field Supplies</t>
  </si>
  <si>
    <t>Business Purpose:  A commodity needed to perform field work for research or instructional purposes.</t>
  </si>
  <si>
    <t>Public Benefit:  Field supplies are used in day-to-day field work operations.  ASU benefits from this expense as the supplies purchased allow departments to benefit from the research or instructional field work that is produced as a result.</t>
  </si>
  <si>
    <t>Furniture/Other Equipment (Non-Capital)</t>
  </si>
  <si>
    <t>Business Purpose:  Furniture and other similar non-capital equipment purchased to furnish staff/faculty offices.</t>
  </si>
  <si>
    <t>Public Benefit:  ASU benefits from this expense as the furniture and other similar equipment allows departmental employees to perform daily operations and creates a welcoming and functional environment that is conducive to collaboration and efficiency.</t>
  </si>
  <si>
    <t>Lab – Chemical Supplies</t>
  </si>
  <si>
    <t>Business Purpose:  Chemicals and similar materials purchased to maintain and/or conduct both daily lab operations as well as current and new research in the lab.</t>
  </si>
  <si>
    <t>Public Benefit:  ASU benefits from this expense as the chemical supplies purchased allow departmental lab employees and students to perform general lab duties, projects, and research activities.  Functional labs increase academic and operational success for students, faculty, and staff.</t>
  </si>
  <si>
    <t>Lab / Classroom / Medical Supplies</t>
  </si>
  <si>
    <t>Business Purpose:  A commodity needed for experimentation, observation or practice in a field of study (such as goggles, aprons, test tubes, flasks, and plates etc).</t>
  </si>
  <si>
    <t>Public Benefit:  Supplies are used in day-to-day lab operations.  ASU benefits from this expense as the supplies purchased allow departmental lab employees and students to perform general lab duties, projects, and research activities.</t>
  </si>
  <si>
    <t>Non-Capital Equipment – Lab / Scientific / Engineering</t>
  </si>
  <si>
    <t>Business Purpose:  Equipment and accessories having a life expectancy of less than one year or a unit cost of less than $5,000 purchased to equip an ASU operational/research laboratory.</t>
  </si>
  <si>
    <t>Public Benefit:  Lab equipment is used to equip departmental labs for employee and student use.  ASU benefits from this expense as the equipment purchased allows departmental lab employees and students to perform daily duties that require lab use and/on specific equipment.</t>
  </si>
  <si>
    <t>Office Operations – Service Requests</t>
  </si>
  <si>
    <t>Business Purpose:  Services to replace, repair, deconstruct, remove, install, and/or otherwise maintain equipment, furniture, walls, space, and/or anything else in the office that can be serviced.</t>
  </si>
  <si>
    <t>Public Benefit:  Office equipment, furniture, walls, and space (etc...) are used in daily office operations.  ASU benefits from this expense as the service/maintenance provided allows departmental personnel and students to perform general office duties, projects, activities, and research.</t>
  </si>
  <si>
    <t>Office Supplies</t>
  </si>
  <si>
    <t>Business Purpose:  Pencils, pens, paper, toner, highlighters and miscellaneous supplies purchased to stock the departmental supply cabinet, used by all departmental employees.</t>
  </si>
  <si>
    <t>Public Benefit:  Supplies are used in day-to-day departmental operations.  ASU benefits from this expense as the supplies purchased allow departmental employees to perform general job duties.</t>
  </si>
  <si>
    <t>Other Services – Miscellaneous</t>
  </si>
  <si>
    <t>Business Purpose:  Payments made for other services not specifically categorized.  These expenses benefit daily business, classroom, and research operations.</t>
  </si>
  <si>
    <t>Public Benefit:  This expense benefits ASU in that the services purchased will benefit and/or facilitate classroom, research, and operational needs.</t>
  </si>
  <si>
    <t>Outgoing Freight</t>
  </si>
  <si>
    <t>Business Purpose:  Outgoing freight to an approved vendor for the shipment of materials, supplies, and/or equipment needed for the completion of a research, student projects, and day-to-day lab and office duties.</t>
  </si>
  <si>
    <t>Public Benefit:  Shipping is necessary in order to deliver materials, supplies, and/or equipment in a timely manner in order to effectively support a project.  ASU benefits from this expense as the freight received allows departmental/lab employees and students to perform general lab duties, projects, and class activities.</t>
  </si>
  <si>
    <t>Parking – ASU Campus Permits</t>
  </si>
  <si>
    <t>Business Purpose:  Green or Red Parking Passes to be used by ASU employees or invited speakers/guests to attend meetings, classes, and functions at the various ASU Campuses.</t>
  </si>
  <si>
    <t>Public Benefit:  ASU benefits from this expense as parking passes ease the burden of parking on campus and assure timely arrival to scheduled meetings and functions.  The benefit that ASU Campus Parking Passes provide encourages more frequent meeting and collaboration.</t>
  </si>
  <si>
    <t>Printing Services</t>
  </si>
  <si>
    <t>Business Purpose:  Printing of any other miscellaneous materials for projects, departmental needs, or Polytechnic School needs.</t>
  </si>
  <si>
    <t>Business Purpose:  Materials and supplies purchased to complete a designated project by students and/or departmental employees.</t>
  </si>
  <si>
    <t>Public Benefit:  ASU benefits from this expense as the supplies purchased allow departmental lab employees and students to meet the requirements of their designated project and class activities.  The successful completion of project and class activities furthers ASU’s agenda as an exceptional academic institution.</t>
  </si>
  <si>
    <t>Repair and Maintenance Materials and Supplies</t>
  </si>
  <si>
    <t>Business Purpose:  Commodity items purchased to restore and/or maintain grounds, infrastructure, and utility systems, buildings, or equipment.</t>
  </si>
  <si>
    <t>Public Benefit:  Repair and Maintenance materials and supplies benefit ASU as the materials purchased allow departmental employees to perform daily duties and maintain University property and equipment.</t>
  </si>
  <si>
    <t>Software and Computing Supplies</t>
  </si>
  <si>
    <t>Business Purpose:  Non-capital equipment or software purchased to equip faculty and staff offices for departmental use.  This expense allows for efficient daily lab, business, customer service, and research operations.</t>
  </si>
  <si>
    <t>Public Benefit:  ASU benefits from this expense as the supplies and software purchased allow departmental employees to perform daily general duties, prepare for class instruction and class projects, and complete office duties and projects.</t>
  </si>
  <si>
    <t>Subscriptions</t>
  </si>
  <si>
    <t>Business Purpose:  Subscriptions allow students, faculty, and staff access to the various services that benefit student and staff success, and that are necessary to meet the needs of projects and research.</t>
  </si>
  <si>
    <t>Public Benefit:  Subscriptions are used in day-to-day operations.  ASU benefits from this expense as access to the various subscription services allow students, faculty, and staff to successfully complete projects, research, and class activities.</t>
  </si>
  <si>
    <t>USPS Charges</t>
  </si>
  <si>
    <t>Business Purpose:  Expenses to send out by priority mail that need to be received very quickly in order to maintain continuity of ASU business.</t>
  </si>
  <si>
    <t>Public Benefit:  This expense will benefit ASU through increased exposure, timely responses, and will allow for new opportunities for The Polytechnic School.</t>
  </si>
  <si>
    <t>Vehicle R/M Supplies and Services</t>
  </si>
  <si>
    <t>Business Purpose:  Services performed or commodity items purchased to equip, restore, and/or maintain ASU owned vehicles that serve The Polytechnic School and ASU purposes.</t>
  </si>
  <si>
    <t>Public Benefit:  ASU benefits from this expense as R/M services and supplies/materials purchased allow departmental employees to maintain these vehicles and thus perform daily duties that require vehicle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</si>
</sst>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76" formatCode="&quot;$&quot;#,##0.00"/>
    <numFmt numFmtId="177" formatCode="m/d/yy;@"/>
    <numFmt numFmtId="178" formatCode="_(&quot;$&quot;* #,##0.000_);_(&quot;$&quot;* \(#,##0.000\);_(&quot;$&quot;* &quot;-&quot;???_);_(@_)"/>
    <numFmt numFmtId="179" formatCode="_([$$-409]* #,##0.00_);_([$$-409]* \(#,##0.00\);_([$$-409]* &quot;-&quot;??_);_(@_)"/>
  </numFmts>
  <fonts count="36" x14ac:knownFonts="1">
    <font>
      <sz val="10"/>
      <name val="Arial"/>
    </font>
    <font>
      <sz val="12"/>
      <color theme="1" tint="0.249977111117893"/>
      <name val="Garamond"/>
      <family val="1"/>
      <scheme val="minor"/>
    </font>
    <font>
      <sz val="10"/>
      <color theme="1" tint="0.249977111117893"/>
      <name val="Garamond"/>
      <family val="1"/>
      <scheme val="minor"/>
    </font>
    <font>
      <sz val="8"/>
      <color theme="1" tint="0.249977111117893"/>
      <name val="Garamond"/>
      <family val="1"/>
      <scheme val="minor"/>
    </font>
    <font>
      <b/>
      <sz val="8"/>
      <color theme="1" tint="0.249977111117893"/>
      <name val="Garamond"/>
      <family val="1"/>
      <scheme val="minor"/>
    </font>
    <font>
      <b/>
      <sz val="11"/>
      <color theme="1" tint="0.249977111117893"/>
      <name val="Arial"/>
      <family val="2"/>
    </font>
    <font>
      <b/>
      <sz val="10"/>
      <color theme="1" tint="0.249977111117893"/>
      <name val="Arial"/>
      <family val="2"/>
    </font>
    <font>
      <sz val="10"/>
      <color theme="1" tint="0.249977111117893"/>
      <name val="Arial"/>
      <family val="2"/>
    </font>
    <font>
      <u/>
      <sz val="10"/>
      <color theme="10"/>
      <name val="Arial"/>
      <family val="2"/>
    </font>
    <font>
      <sz val="12"/>
      <name val="Garamond"/>
      <family val="1"/>
      <scheme val="major"/>
    </font>
    <font>
      <b/>
      <sz val="12"/>
      <name val="Garamond"/>
      <family val="1"/>
      <scheme val="major"/>
    </font>
    <font>
      <b/>
      <sz val="12"/>
      <name val="Garamond"/>
      <family val="1"/>
    </font>
    <font>
      <sz val="12"/>
      <name val="Garamond"/>
      <family val="1"/>
    </font>
    <font>
      <sz val="9"/>
      <name val="Calibri"/>
      <family val="2"/>
    </font>
    <font>
      <sz val="10"/>
      <color theme="1"/>
      <name val="Arial"/>
      <family val="2"/>
    </font>
    <font>
      <sz val="28"/>
      <color theme="0" tint="-0.34998626667073579"/>
      <name val="Century Gothic"/>
      <family val="2"/>
    </font>
    <font>
      <sz val="10"/>
      <name val="Century Gothic"/>
      <family val="2"/>
    </font>
    <font>
      <sz val="8"/>
      <name val="Century Gothic"/>
      <family val="2"/>
    </font>
    <font>
      <b/>
      <sz val="12"/>
      <color theme="5"/>
      <name val="Century Gothic"/>
      <family val="2"/>
    </font>
    <font>
      <b/>
      <sz val="12"/>
      <color rgb="FFC00000"/>
      <name val="Century Gothic"/>
      <family val="2"/>
    </font>
    <font>
      <b/>
      <sz val="9"/>
      <name val="Century Gothic"/>
      <family val="2"/>
    </font>
    <font>
      <sz val="10"/>
      <name val="Garamond"/>
      <family val="2"/>
      <scheme val="minor"/>
    </font>
    <font>
      <sz val="7.5"/>
      <name val="Century Gothic"/>
      <family val="2"/>
    </font>
    <font>
      <i/>
      <sz val="9"/>
      <name val="Garamond"/>
      <family val="2"/>
      <scheme val="minor"/>
    </font>
    <font>
      <sz val="9"/>
      <name val="Garamond"/>
      <family val="2"/>
      <scheme val="minor"/>
    </font>
    <font>
      <b/>
      <sz val="10"/>
      <name val="Century Gothic"/>
      <family val="2"/>
    </font>
    <font>
      <sz val="8"/>
      <color theme="1"/>
      <name val="Arial"/>
      <family val="2"/>
    </font>
    <font>
      <b/>
      <sz val="8"/>
      <name val="Arial"/>
      <family val="2"/>
    </font>
    <font>
      <b/>
      <sz val="8"/>
      <color rgb="FFFF0000"/>
      <name val="Arial"/>
      <family val="2"/>
    </font>
    <font>
      <b/>
      <sz val="8"/>
      <color theme="1"/>
      <name val="Arial"/>
      <family val="2"/>
    </font>
    <font>
      <b/>
      <sz val="8"/>
      <color indexed="41"/>
      <name val="Century Gothic"/>
      <family val="2"/>
    </font>
    <font>
      <b/>
      <sz val="8"/>
      <name val="Century Gothic"/>
      <family val="2"/>
    </font>
    <font>
      <b/>
      <sz val="10"/>
      <color rgb="FFFFFFFF"/>
      <name val="Arial"/>
      <family val="2"/>
    </font>
    <font>
      <b/>
      <sz val="11"/>
      <color theme="9" tint="0.79998168889431442"/>
      <name val="Century Gothic"/>
      <family val="2"/>
    </font>
    <font>
      <b/>
      <sz val="9"/>
      <color rgb="FF000000"/>
      <name val="Century Gothic"/>
    </font>
    <font>
      <sz val="9"/>
      <name val="宋体"/>
      <family val="3"/>
      <charset val="134"/>
    </font>
  </fonts>
  <fills count="7">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499984740745262"/>
        <bgColor indexed="64"/>
      </patternFill>
    </fill>
    <fill>
      <patternFill patternType="solid">
        <fgColor theme="9" tint="-0.249977111117893"/>
        <bgColor indexed="64"/>
      </patternFill>
    </fill>
  </fills>
  <borders count="1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theme="0" tint="-0.149937437055574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8" fillId="0" borderId="0"/>
  </cellStyleXfs>
  <cellXfs count="95">
    <xf numFmtId="0" fontId="0" fillId="0" borderId="0" xfId="0"/>
    <xf numFmtId="0" fontId="2" fillId="0" borderId="0" xfId="0" applyFont="1"/>
    <xf numFmtId="176" fontId="3" fillId="0" borderId="0" xfId="0" applyNumberFormat="1" applyFont="1" applyAlignment="1">
      <alignment horizontal="right" indent="1"/>
    </xf>
    <xf numFmtId="0" fontId="9" fillId="0" borderId="0" xfId="0" applyFont="1"/>
    <xf numFmtId="0" fontId="10" fillId="0" borderId="0" xfId="0" applyFont="1"/>
    <xf numFmtId="0" fontId="11" fillId="0" borderId="0" xfId="0" applyFont="1" applyAlignment="1">
      <alignment vertical="center"/>
    </xf>
    <xf numFmtId="0" fontId="12" fillId="0" borderId="0" xfId="0" applyFont="1" applyAlignment="1">
      <alignment vertical="center"/>
    </xf>
    <xf numFmtId="176" fontId="7" fillId="0" borderId="1" xfId="0" applyNumberFormat="1" applyFont="1" applyBorder="1"/>
    <xf numFmtId="176" fontId="4" fillId="0" borderId="9" xfId="0" applyNumberFormat="1" applyFont="1" applyBorder="1" applyAlignment="1">
      <alignment horizontal="right" indent="1"/>
    </xf>
    <xf numFmtId="0" fontId="16" fillId="0" borderId="0" xfId="0" applyFont="1"/>
    <xf numFmtId="0" fontId="17" fillId="0" borderId="0" xfId="0" applyFont="1"/>
    <xf numFmtId="0" fontId="20" fillId="2" borderId="0" xfId="0" applyFont="1" applyFill="1" applyAlignment="1">
      <alignment horizontal="center"/>
    </xf>
    <xf numFmtId="0" fontId="20" fillId="2" borderId="0" xfId="0" applyFont="1" applyFill="1" applyAlignment="1">
      <alignment horizontal="center" wrapText="1"/>
    </xf>
    <xf numFmtId="0" fontId="17" fillId="2" borderId="0" xfId="0" applyFont="1" applyFill="1" applyAlignment="1">
      <alignment horizontal="left" wrapText="1"/>
    </xf>
    <xf numFmtId="0" fontId="17" fillId="2" borderId="0" xfId="0" applyFont="1" applyFill="1" applyAlignment="1">
      <alignment horizontal="left"/>
    </xf>
    <xf numFmtId="177" fontId="22" fillId="0" borderId="0" xfId="0" applyNumberFormat="1" applyFont="1" applyAlignment="1">
      <alignment horizontal="left" vertical="center"/>
    </xf>
    <xf numFmtId="0" fontId="16" fillId="0" borderId="0" xfId="0" applyFont="1" applyAlignment="1">
      <alignment horizontal="center"/>
    </xf>
    <xf numFmtId="1" fontId="23" fillId="4" borderId="4" xfId="0" applyNumberFormat="1" applyFont="1" applyFill="1" applyBorder="1" applyAlignment="1">
      <alignment horizontal="center" vertical="center"/>
    </xf>
    <xf numFmtId="2" fontId="23" fillId="4" borderId="4" xfId="0" applyNumberFormat="1" applyFont="1" applyFill="1" applyBorder="1" applyAlignment="1">
      <alignment horizontal="left" vertical="center"/>
    </xf>
    <xf numFmtId="44" fontId="23" fillId="4" borderId="4" xfId="0" applyNumberFormat="1" applyFont="1" applyFill="1" applyBorder="1" applyAlignment="1">
      <alignment horizontal="left" vertical="center"/>
    </xf>
    <xf numFmtId="1" fontId="24" fillId="0" borderId="4" xfId="0" applyNumberFormat="1" applyFont="1" applyBorder="1" applyAlignment="1">
      <alignment horizontal="center" vertical="center"/>
    </xf>
    <xf numFmtId="49" fontId="24" fillId="0" borderId="4" xfId="0" applyNumberFormat="1" applyFont="1" applyBorder="1" applyAlignment="1">
      <alignment horizontal="left" vertical="center"/>
    </xf>
    <xf numFmtId="178" fontId="24" fillId="0" borderId="4" xfId="0" applyNumberFormat="1" applyFont="1" applyBorder="1" applyAlignment="1">
      <alignment horizontal="left" vertical="center"/>
    </xf>
    <xf numFmtId="0" fontId="24" fillId="0" borderId="4" xfId="0" applyFont="1" applyBorder="1" applyAlignment="1">
      <alignment horizontal="center" vertical="center"/>
    </xf>
    <xf numFmtId="0" fontId="24" fillId="0" borderId="0" xfId="0" applyFont="1" applyAlignment="1">
      <alignment horizontal="left"/>
    </xf>
    <xf numFmtId="44" fontId="24" fillId="0" borderId="4" xfId="0" applyNumberFormat="1" applyFont="1" applyBorder="1" applyAlignment="1">
      <alignment vertical="center"/>
    </xf>
    <xf numFmtId="0" fontId="14" fillId="0" borderId="0" xfId="0" applyFont="1"/>
    <xf numFmtId="0" fontId="5" fillId="0" borderId="10" xfId="0" applyFont="1" applyBorder="1"/>
    <xf numFmtId="0" fontId="5" fillId="0" borderId="11" xfId="0" applyFont="1" applyBorder="1"/>
    <xf numFmtId="0" fontId="5" fillId="0" borderId="12" xfId="0" applyFont="1" applyBorder="1"/>
    <xf numFmtId="0" fontId="6" fillId="0" borderId="13" xfId="0" applyFont="1" applyBorder="1" applyAlignment="1">
      <alignment horizontal="right"/>
    </xf>
    <xf numFmtId="0" fontId="6" fillId="0" borderId="14" xfId="0" applyFont="1" applyBorder="1" applyAlignment="1">
      <alignment horizontal="right"/>
    </xf>
    <xf numFmtId="0" fontId="26" fillId="0" borderId="0" xfId="0" applyFont="1"/>
    <xf numFmtId="0" fontId="28" fillId="0" borderId="0" xfId="0" applyFont="1" applyAlignment="1">
      <alignment horizontal="center"/>
    </xf>
    <xf numFmtId="0" fontId="29" fillId="0" borderId="2" xfId="0" applyFont="1" applyBorder="1"/>
    <xf numFmtId="0" fontId="29" fillId="0" borderId="0" xfId="0" applyFont="1"/>
    <xf numFmtId="0" fontId="30" fillId="0" borderId="0" xfId="0" applyFont="1" applyAlignment="1">
      <alignment horizontal="center"/>
    </xf>
    <xf numFmtId="0" fontId="31" fillId="0" borderId="0" xfId="0" applyFont="1" applyAlignment="1">
      <alignment horizontal="center"/>
    </xf>
    <xf numFmtId="0" fontId="27" fillId="0" borderId="1" xfId="0" applyFont="1" applyBorder="1"/>
    <xf numFmtId="178" fontId="23" fillId="4" borderId="4" xfId="0" applyNumberFormat="1" applyFont="1" applyFill="1" applyBorder="1" applyAlignment="1">
      <alignment horizontal="left" vertical="center"/>
    </xf>
    <xf numFmtId="0" fontId="21" fillId="3" borderId="4" xfId="0" applyFont="1" applyFill="1" applyBorder="1" applyAlignment="1">
      <alignment horizontal="left" vertical="center"/>
    </xf>
    <xf numFmtId="177" fontId="21" fillId="0" borderId="4" xfId="0" applyNumberFormat="1" applyFont="1" applyBorder="1" applyAlignment="1">
      <alignment horizontal="left" vertical="center"/>
    </xf>
    <xf numFmtId="0" fontId="13" fillId="0" borderId="4" xfId="0" applyFont="1" applyBorder="1" applyAlignment="1">
      <alignment horizontal="left" vertical="center"/>
    </xf>
    <xf numFmtId="0" fontId="24" fillId="0" borderId="4" xfId="0" applyFont="1" applyBorder="1" applyAlignment="1">
      <alignment horizontal="left" vertical="center" wrapText="1"/>
    </xf>
    <xf numFmtId="177" fontId="20" fillId="2" borderId="0" xfId="0" applyNumberFormat="1" applyFont="1" applyFill="1" applyAlignment="1">
      <alignment horizontal="center"/>
    </xf>
    <xf numFmtId="0" fontId="23" fillId="4" borderId="4" xfId="0" applyFont="1" applyFill="1" applyBorder="1" applyAlignment="1">
      <alignment horizontal="left" vertical="center" wrapText="1"/>
    </xf>
    <xf numFmtId="0" fontId="27" fillId="0" borderId="0" xfId="0" applyFont="1" applyAlignment="1">
      <alignment horizontal="right"/>
    </xf>
    <xf numFmtId="0" fontId="24" fillId="0" borderId="4" xfId="0" applyFont="1" applyBorder="1" applyAlignment="1">
      <alignment horizontal="left" vertical="center"/>
    </xf>
    <xf numFmtId="0" fontId="25" fillId="0" borderId="0" xfId="0" applyFont="1" applyAlignment="1">
      <alignment horizontal="center" vertical="center" wrapText="1"/>
    </xf>
    <xf numFmtId="0" fontId="27" fillId="0" borderId="1" xfId="0" applyFont="1" applyBorder="1" applyAlignment="1">
      <alignment horizontal="left"/>
    </xf>
    <xf numFmtId="0" fontId="29" fillId="0" borderId="0" xfId="0" applyFont="1" applyAlignment="1">
      <alignment horizontal="right"/>
    </xf>
    <xf numFmtId="30" fontId="21" fillId="0" borderId="4" xfId="0" applyNumberFormat="1" applyFont="1" applyBorder="1" applyAlignment="1">
      <alignment horizontal="left" vertical="center"/>
    </xf>
    <xf numFmtId="1" fontId="24" fillId="0" borderId="4" xfId="0" applyNumberFormat="1" applyFont="1" applyBorder="1" applyAlignment="1">
      <alignment horizontal="center" vertical="center" wrapText="1"/>
    </xf>
    <xf numFmtId="0" fontId="8" fillId="0" borderId="0" xfId="1" applyAlignment="1">
      <alignment vertical="center" wrapText="1"/>
    </xf>
    <xf numFmtId="179" fontId="24" fillId="0" borderId="4" xfId="0" applyNumberFormat="1" applyFont="1" applyBorder="1" applyAlignment="1">
      <alignment horizontal="left" vertical="center" wrapText="1"/>
    </xf>
    <xf numFmtId="44" fontId="23" fillId="4" borderId="4" xfId="0" applyNumberFormat="1" applyFont="1" applyFill="1" applyBorder="1" applyAlignment="1">
      <alignment horizontal="left" vertical="center" wrapText="1"/>
    </xf>
    <xf numFmtId="178" fontId="24" fillId="0" borderId="4" xfId="0" applyNumberFormat="1" applyFont="1" applyBorder="1" applyAlignment="1">
      <alignment horizontal="left" vertical="center" wrapText="1"/>
    </xf>
    <xf numFmtId="49" fontId="24" fillId="0" borderId="4" xfId="0" applyNumberFormat="1" applyFont="1" applyBorder="1" applyAlignment="1">
      <alignment horizontal="left" vertical="center" wrapText="1"/>
    </xf>
    <xf numFmtId="0" fontId="24" fillId="0" borderId="4" xfId="0" applyFont="1" applyBorder="1" applyAlignment="1">
      <alignment horizontal="left" vertical="center" wrapText="1"/>
    </xf>
    <xf numFmtId="0" fontId="0" fillId="0" borderId="8" xfId="0" applyBorder="1"/>
    <xf numFmtId="0" fontId="6" fillId="0" borderId="0" xfId="0" applyFont="1" applyAlignment="1">
      <alignment horizontal="left"/>
    </xf>
    <xf numFmtId="0" fontId="16" fillId="0" borderId="0" xfId="0" applyFont="1"/>
    <xf numFmtId="0" fontId="1" fillId="0" borderId="17" xfId="0" applyFont="1" applyBorder="1" applyAlignment="1">
      <alignment horizontal="left" vertical="center" wrapText="1"/>
    </xf>
    <xf numFmtId="0" fontId="2" fillId="0" borderId="0" xfId="0" applyFont="1"/>
    <xf numFmtId="0" fontId="0" fillId="0" borderId="6" xfId="0" applyBorder="1"/>
    <xf numFmtId="0" fontId="29" fillId="0" borderId="0" xfId="0" applyFont="1" applyAlignment="1">
      <alignment horizontal="right"/>
    </xf>
    <xf numFmtId="0" fontId="26" fillId="0" borderId="0" xfId="0" applyFont="1"/>
    <xf numFmtId="0" fontId="24" fillId="0" borderId="4" xfId="0" applyFont="1" applyBorder="1" applyAlignment="1">
      <alignment horizontal="left" vertical="center"/>
    </xf>
    <xf numFmtId="0" fontId="24" fillId="0" borderId="3" xfId="0" applyFont="1" applyBorder="1" applyAlignment="1">
      <alignment horizontal="left"/>
    </xf>
    <xf numFmtId="0" fontId="0" fillId="0" borderId="3" xfId="0" applyBorder="1"/>
    <xf numFmtId="0" fontId="23" fillId="4" borderId="4" xfId="0" applyFont="1" applyFill="1" applyBorder="1" applyAlignment="1">
      <alignment horizontal="left" vertical="center" wrapText="1"/>
    </xf>
    <xf numFmtId="0" fontId="24" fillId="0" borderId="15" xfId="0" applyFont="1" applyBorder="1" applyAlignment="1">
      <alignment horizontal="left" vertical="center"/>
    </xf>
    <xf numFmtId="0" fontId="0" fillId="0" borderId="7" xfId="0" applyBorder="1"/>
    <xf numFmtId="0" fontId="25" fillId="0" borderId="0" xfId="0" applyFont="1" applyAlignment="1">
      <alignment horizontal="center" vertical="center" wrapText="1"/>
    </xf>
    <xf numFmtId="0" fontId="8" fillId="0" borderId="4" xfId="1" applyBorder="1" applyAlignment="1">
      <alignment horizontal="left" vertical="center" wrapText="1"/>
    </xf>
    <xf numFmtId="0" fontId="20" fillId="2" borderId="1" xfId="0" applyFont="1" applyFill="1" applyBorder="1" applyAlignment="1">
      <alignment horizontal="center"/>
    </xf>
    <xf numFmtId="0" fontId="0" fillId="0" borderId="1" xfId="0" applyBorder="1"/>
    <xf numFmtId="0" fontId="27" fillId="0" borderId="1" xfId="0" applyFont="1" applyBorder="1" applyAlignment="1">
      <alignment horizontal="left"/>
    </xf>
    <xf numFmtId="0" fontId="32" fillId="5" borderId="0" xfId="0" applyFont="1" applyFill="1" applyAlignment="1">
      <alignment horizontal="center" vertical="center"/>
    </xf>
    <xf numFmtId="0" fontId="14" fillId="0" borderId="0" xfId="0" applyFont="1"/>
    <xf numFmtId="0" fontId="8" fillId="0" borderId="4" xfId="1" applyBorder="1" applyAlignment="1">
      <alignment horizontal="left" vertical="center"/>
    </xf>
    <xf numFmtId="0" fontId="34" fillId="0" borderId="4" xfId="0" applyFont="1" applyBorder="1" applyAlignment="1">
      <alignment horizontal="left" vertical="center"/>
    </xf>
    <xf numFmtId="0" fontId="0" fillId="0" borderId="2" xfId="0" applyBorder="1"/>
    <xf numFmtId="0" fontId="19" fillId="3" borderId="0" xfId="0" applyFont="1" applyFill="1" applyAlignment="1">
      <alignment horizontal="left"/>
    </xf>
    <xf numFmtId="0" fontId="17" fillId="0" borderId="0" xfId="0" applyFont="1"/>
    <xf numFmtId="0" fontId="29" fillId="0" borderId="2" xfId="0" applyFont="1" applyBorder="1" applyAlignment="1">
      <alignment horizontal="left"/>
    </xf>
    <xf numFmtId="0" fontId="27" fillId="0" borderId="0" xfId="0" applyFont="1" applyAlignment="1">
      <alignment horizontal="right"/>
    </xf>
    <xf numFmtId="177" fontId="20" fillId="2" borderId="0" xfId="0" applyNumberFormat="1" applyFont="1" applyFill="1" applyAlignment="1">
      <alignment horizontal="center"/>
    </xf>
    <xf numFmtId="0" fontId="16" fillId="0" borderId="0" xfId="0" applyFont="1" applyAlignment="1">
      <alignment horizontal="center"/>
    </xf>
    <xf numFmtId="0" fontId="15" fillId="2" borderId="0" xfId="0" applyFont="1" applyFill="1" applyAlignment="1">
      <alignment horizontal="center"/>
    </xf>
    <xf numFmtId="0" fontId="1" fillId="0" borderId="16" xfId="0" applyFont="1" applyBorder="1" applyAlignment="1">
      <alignment horizontal="left"/>
    </xf>
    <xf numFmtId="0" fontId="0" fillId="0" borderId="5" xfId="0" applyBorder="1"/>
    <xf numFmtId="177" fontId="33" fillId="6" borderId="0" xfId="0" applyNumberFormat="1" applyFont="1" applyFill="1" applyAlignment="1">
      <alignment horizontal="left"/>
    </xf>
    <xf numFmtId="0" fontId="18" fillId="0" borderId="0" xfId="0" applyFont="1" applyAlignment="1">
      <alignment horizontal="left"/>
    </xf>
    <xf numFmtId="0" fontId="1" fillId="0" borderId="15"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0C0C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F3F3F3"/>
      <rgbColor rgb="00DDDDDD"/>
      <rgbColor rgb="00CCFFCC"/>
      <rgbColor rgb="00FFFF99"/>
      <rgbColor rgb="00D9D9D9"/>
      <rgbColor rgb="00FF99CC"/>
      <rgbColor rgb="00969696"/>
      <rgbColor rgb="00FFCC99"/>
      <rgbColor rgb="003366FF"/>
      <rgbColor rgb="0033CCCC"/>
      <rgbColor rgb="0099CC00"/>
      <rgbColor rgb="00FFCC00"/>
      <rgbColor rgb="00FF9900"/>
      <rgbColor rgb="00FF6600"/>
      <rgbColor rgb="00969696"/>
      <rgbColor rgb="00969696"/>
      <rgbColor rgb="00003366"/>
      <rgbColor rgb="00339966"/>
      <rgbColor rgb="00003300"/>
      <rgbColor rgb="00333300"/>
      <rgbColor rgb="00993300"/>
      <rgbColor rgb="00ECECEC"/>
      <rgbColor rgb="00969696"/>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7938</xdr:colOff>
      <xdr:row>0</xdr:row>
      <xdr:rowOff>95250</xdr:rowOff>
    </xdr:from>
    <xdr:to>
      <xdr:col>2</xdr:col>
      <xdr:colOff>404812</xdr:colOff>
      <xdr:row>0</xdr:row>
      <xdr:rowOff>632227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938" y="95250"/>
          <a:ext cx="2166937" cy="536977"/>
        </a:xfrm>
        <a:prstGeom prst="rect">
          <a:avLst/>
        </a:prstGeom>
        <a:ln>
          <a:prstDash val="solid"/>
        </a:ln>
      </xdr:spPr>
    </xdr:pic>
    <xdr:clientData/>
  </xdr:twoCellAnchor>
  <xdr:twoCellAnchor editAs="oneCell">
    <xdr:from>
      <xdr:col>0</xdr:col>
      <xdr:colOff>31750</xdr:colOff>
      <xdr:row>28</xdr:row>
      <xdr:rowOff>23812</xdr:rowOff>
    </xdr:from>
    <xdr:to>
      <xdr:col>7</xdr:col>
      <xdr:colOff>508000</xdr:colOff>
      <xdr:row>30</xdr:row>
      <xdr:rowOff>746125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1750" y="6238875"/>
          <a:ext cx="10620375" cy="126206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aramond Gray">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igikey.be/en/products/detail/sunled/XSFWCB983W/4902333" TargetMode="External"/><Relationship Id="rId2" Type="http://schemas.openxmlformats.org/officeDocument/2006/relationships/hyperlink" Target="https://www.digikey.com/en/products/detail/littelfuse-inc/0217005-HXP/777111" TargetMode="External"/><Relationship Id="rId1" Type="http://schemas.openxmlformats.org/officeDocument/2006/relationships/hyperlink" Target="https://www.digikey.com/en/products/detail/ams-osram-usa-inc./SFH%25203310/2182181?utm_adgroup=&amp;utm_source=google&amp;utm_medium=cpc&amp;utm_campaign=PMax%20Shopping_Product_High%20ROAS%20Categories&amp;utm_term=&amp;utm_content=&amp;utm_id=go_cmp-20222717502_adg-_ad-__dev-c_ext-_prd-2182181_sig-Cj0KCQjwyL24BhCtARIsALo0fSDiVY71lJxIWMS5LDMaQjqT36mUuK9vrlFvG9tfNZNDLtDfc2q5tPUaAr0ZEALw_wcB&amp;gad_source=1&amp;gclid=Cj0KCQjwyL24BhCtARIsALo0fSDiVY71lJxIWMS5LDMaQjqT36mUuK9vrlFvG9tfNZNDLtDfc2q5tPUaAr0ZEALw_wcB"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40"/>
  <sheetViews>
    <sheetView showGridLines="0" tabSelected="1" zoomScale="120" zoomScaleNormal="120" workbookViewId="0">
      <selection activeCell="B10" sqref="B10"/>
    </sheetView>
  </sheetViews>
  <sheetFormatPr defaultColWidth="9.140625" defaultRowHeight="12.75" x14ac:dyDescent="0.2"/>
  <cols>
    <col min="1" max="1" width="10" style="1" customWidth="1"/>
    <col min="2" max="2" width="18" style="1" bestFit="1" customWidth="1"/>
    <col min="3" max="3" width="25.140625" style="1" customWidth="1"/>
    <col min="4" max="4" width="30.7109375" style="1" customWidth="1"/>
    <col min="5" max="5" width="11" style="1" customWidth="1"/>
    <col min="6" max="6" width="22.42578125" style="1" customWidth="1"/>
    <col min="7" max="7" width="37.85546875" style="1" customWidth="1"/>
    <col min="8" max="8" width="10" style="1" customWidth="1"/>
    <col min="9" max="9" width="9.140625" style="1" customWidth="1"/>
    <col min="10" max="16384" width="9.140625" style="1"/>
  </cols>
  <sheetData>
    <row r="1" spans="1:9" s="9" customFormat="1" ht="58.5" customHeight="1" x14ac:dyDescent="0.4">
      <c r="A1" s="89" t="s">
        <v>0</v>
      </c>
      <c r="B1" s="61"/>
      <c r="C1" s="61"/>
      <c r="D1" s="61"/>
      <c r="E1" s="61"/>
      <c r="F1" s="61"/>
      <c r="G1" s="61"/>
      <c r="H1" s="61"/>
      <c r="I1" s="61"/>
    </row>
    <row r="2" spans="1:9" s="10" customFormat="1" ht="18" customHeight="1" x14ac:dyDescent="0.25">
      <c r="A2" s="93" t="s">
        <v>1</v>
      </c>
      <c r="B2" s="84"/>
      <c r="C2" s="84"/>
      <c r="D2" s="84"/>
      <c r="E2" s="83" t="s">
        <v>2</v>
      </c>
      <c r="F2" s="84"/>
      <c r="G2" s="84"/>
      <c r="H2" s="84"/>
      <c r="I2" s="84"/>
    </row>
    <row r="3" spans="1:9" s="10" customFormat="1" ht="14.1" customHeight="1" x14ac:dyDescent="0.25"/>
    <row r="4" spans="1:9" s="9" customFormat="1" ht="15" customHeight="1" x14ac:dyDescent="0.25">
      <c r="A4" s="11" t="s">
        <v>3</v>
      </c>
      <c r="B4" s="11" t="s">
        <v>4</v>
      </c>
      <c r="C4" s="12" t="s">
        <v>5</v>
      </c>
      <c r="D4" s="75" t="s">
        <v>6</v>
      </c>
      <c r="E4" s="76"/>
      <c r="F4" s="76"/>
      <c r="G4" s="12" t="s">
        <v>7</v>
      </c>
      <c r="H4" s="13"/>
      <c r="I4" s="14"/>
    </row>
    <row r="5" spans="1:9" s="9" customFormat="1" ht="15" customHeight="1" x14ac:dyDescent="0.2">
      <c r="A5" s="51">
        <v>46325</v>
      </c>
      <c r="B5" s="41" t="s">
        <v>8</v>
      </c>
      <c r="C5" s="40" t="s">
        <v>9</v>
      </c>
      <c r="D5" s="81" t="s">
        <v>10</v>
      </c>
      <c r="E5" s="82"/>
      <c r="F5" s="59"/>
      <c r="G5" s="42" t="s">
        <v>11</v>
      </c>
      <c r="H5" s="15"/>
      <c r="I5" s="15"/>
    </row>
    <row r="6" spans="1:9" s="9" customFormat="1" ht="15" customHeight="1" x14ac:dyDescent="0.2">
      <c r="A6" s="92" t="s">
        <v>12</v>
      </c>
      <c r="B6" s="61"/>
      <c r="C6" s="61"/>
      <c r="D6" s="61"/>
      <c r="E6" s="61"/>
      <c r="F6" s="61"/>
      <c r="G6" s="61"/>
      <c r="H6" s="61"/>
      <c r="I6" s="61"/>
    </row>
    <row r="7" spans="1:9" s="16" customFormat="1" ht="15" customHeight="1" x14ac:dyDescent="0.25">
      <c r="A7" s="44" t="s">
        <v>13</v>
      </c>
      <c r="B7" s="44" t="s">
        <v>14</v>
      </c>
      <c r="C7" s="87" t="s">
        <v>15</v>
      </c>
      <c r="D7" s="88"/>
      <c r="E7" s="75" t="s">
        <v>16</v>
      </c>
      <c r="F7" s="76"/>
      <c r="G7" s="11" t="s">
        <v>17</v>
      </c>
      <c r="H7" s="11" t="s">
        <v>18</v>
      </c>
      <c r="I7" s="11" t="s">
        <v>19</v>
      </c>
    </row>
    <row r="8" spans="1:9" s="9" customFormat="1" ht="39.75" customHeight="1" x14ac:dyDescent="0.2">
      <c r="A8" s="17">
        <v>6</v>
      </c>
      <c r="B8" s="18" t="s">
        <v>20</v>
      </c>
      <c r="C8" s="70" t="s">
        <v>21</v>
      </c>
      <c r="D8" s="59"/>
      <c r="E8" s="70" t="s">
        <v>22</v>
      </c>
      <c r="F8" s="59"/>
      <c r="G8" s="45" t="s">
        <v>23</v>
      </c>
      <c r="H8" s="39">
        <v>3.49</v>
      </c>
      <c r="I8" s="19">
        <f t="shared" ref="I8:I22" si="0">SUM(A8*H8)</f>
        <v>20.94</v>
      </c>
    </row>
    <row r="9" spans="1:9" s="9" customFormat="1" ht="42" customHeight="1" x14ac:dyDescent="0.2">
      <c r="A9" s="52">
        <v>3</v>
      </c>
      <c r="B9" s="57" t="s">
        <v>24</v>
      </c>
      <c r="C9" s="53" t="s">
        <v>25</v>
      </c>
      <c r="E9" s="58" t="s">
        <v>26</v>
      </c>
      <c r="F9" s="59"/>
      <c r="G9" s="43" t="s">
        <v>27</v>
      </c>
      <c r="H9" s="54">
        <v>0</v>
      </c>
      <c r="I9" s="55">
        <f t="shared" si="0"/>
        <v>0</v>
      </c>
    </row>
    <row r="10" spans="1:9" s="9" customFormat="1" ht="42" customHeight="1" x14ac:dyDescent="0.2">
      <c r="A10" s="52">
        <v>10</v>
      </c>
      <c r="B10" s="57" t="s">
        <v>28</v>
      </c>
      <c r="C10" s="74" t="s">
        <v>25</v>
      </c>
      <c r="D10" s="59"/>
      <c r="E10" s="58" t="s">
        <v>29</v>
      </c>
      <c r="F10" s="59"/>
      <c r="G10" s="43" t="s">
        <v>30</v>
      </c>
      <c r="H10" s="56">
        <v>0</v>
      </c>
      <c r="I10" s="55">
        <f t="shared" si="0"/>
        <v>0</v>
      </c>
    </row>
    <row r="11" spans="1:9" s="9" customFormat="1" ht="42" customHeight="1" x14ac:dyDescent="0.2">
      <c r="A11" s="52">
        <v>4</v>
      </c>
      <c r="B11" s="57" t="s">
        <v>31</v>
      </c>
      <c r="C11" s="74" t="s">
        <v>25</v>
      </c>
      <c r="D11" s="59"/>
      <c r="E11" s="58" t="s">
        <v>32</v>
      </c>
      <c r="F11" s="59"/>
      <c r="G11" s="43" t="s">
        <v>33</v>
      </c>
      <c r="H11" s="56">
        <v>0</v>
      </c>
      <c r="I11" s="55">
        <f t="shared" si="0"/>
        <v>0</v>
      </c>
    </row>
    <row r="12" spans="1:9" s="9" customFormat="1" ht="42" customHeight="1" x14ac:dyDescent="0.2">
      <c r="A12" s="52">
        <v>3</v>
      </c>
      <c r="B12" s="57" t="s">
        <v>34</v>
      </c>
      <c r="C12" s="58" t="s">
        <v>25</v>
      </c>
      <c r="D12" s="59"/>
      <c r="E12" s="58" t="s">
        <v>35</v>
      </c>
      <c r="F12" s="59"/>
      <c r="G12" s="43" t="s">
        <v>36</v>
      </c>
      <c r="H12" s="56">
        <v>0</v>
      </c>
      <c r="I12" s="55">
        <f t="shared" si="0"/>
        <v>0</v>
      </c>
    </row>
    <row r="13" spans="1:9" s="9" customFormat="1" ht="42" customHeight="1" x14ac:dyDescent="0.2">
      <c r="A13" s="52">
        <v>2</v>
      </c>
      <c r="B13" s="57" t="s">
        <v>37</v>
      </c>
      <c r="C13" s="58" t="s">
        <v>25</v>
      </c>
      <c r="D13" s="59"/>
      <c r="E13" s="58" t="s">
        <v>38</v>
      </c>
      <c r="F13" s="59"/>
      <c r="G13" s="43" t="s">
        <v>39</v>
      </c>
      <c r="H13" s="56">
        <v>0</v>
      </c>
      <c r="I13" s="55">
        <f t="shared" si="0"/>
        <v>0</v>
      </c>
    </row>
    <row r="14" spans="1:9" s="9" customFormat="1" ht="42" customHeight="1" x14ac:dyDescent="0.2">
      <c r="A14" s="52">
        <v>3</v>
      </c>
      <c r="B14" s="57" t="s">
        <v>40</v>
      </c>
      <c r="C14" s="58" t="s">
        <v>25</v>
      </c>
      <c r="D14" s="59"/>
      <c r="E14" s="58" t="s">
        <v>41</v>
      </c>
      <c r="F14" s="59"/>
      <c r="G14" s="43" t="s">
        <v>42</v>
      </c>
      <c r="H14" s="56">
        <v>0</v>
      </c>
      <c r="I14" s="55">
        <f t="shared" si="0"/>
        <v>0</v>
      </c>
    </row>
    <row r="15" spans="1:9" s="9" customFormat="1" ht="15" customHeight="1" x14ac:dyDescent="0.2">
      <c r="A15" s="20"/>
      <c r="B15" s="21"/>
      <c r="C15" s="67"/>
      <c r="D15" s="59"/>
      <c r="E15" s="58"/>
      <c r="F15" s="59"/>
      <c r="G15" s="43"/>
      <c r="H15" s="22"/>
      <c r="I15" s="19">
        <f t="shared" si="0"/>
        <v>0</v>
      </c>
    </row>
    <row r="16" spans="1:9" s="9" customFormat="1" ht="15" customHeight="1" x14ac:dyDescent="0.2">
      <c r="A16" s="20"/>
      <c r="B16" s="21"/>
      <c r="C16" s="67"/>
      <c r="D16" s="59"/>
      <c r="E16" s="58"/>
      <c r="F16" s="59"/>
      <c r="G16" s="43"/>
      <c r="H16" s="22"/>
      <c r="I16" s="19">
        <f t="shared" si="0"/>
        <v>0</v>
      </c>
    </row>
    <row r="17" spans="1:12" s="9" customFormat="1" ht="15" customHeight="1" x14ac:dyDescent="0.2">
      <c r="A17" s="20"/>
      <c r="B17" s="21"/>
      <c r="C17" s="67"/>
      <c r="D17" s="59"/>
      <c r="E17" s="58"/>
      <c r="F17" s="59"/>
      <c r="G17" s="43"/>
      <c r="H17" s="22"/>
      <c r="I17" s="19">
        <f t="shared" si="0"/>
        <v>0</v>
      </c>
    </row>
    <row r="18" spans="1:12" s="9" customFormat="1" ht="15" customHeight="1" x14ac:dyDescent="0.2">
      <c r="A18" s="20"/>
      <c r="B18" s="21"/>
      <c r="C18" s="67"/>
      <c r="D18" s="59"/>
      <c r="E18" s="58"/>
      <c r="F18" s="59"/>
      <c r="G18" s="43"/>
      <c r="H18" s="22"/>
      <c r="I18" s="19">
        <f t="shared" si="0"/>
        <v>0</v>
      </c>
    </row>
    <row r="19" spans="1:12" s="9" customFormat="1" ht="15" customHeight="1" x14ac:dyDescent="0.2">
      <c r="A19" s="20"/>
      <c r="B19" s="21"/>
      <c r="C19" s="67"/>
      <c r="D19" s="59"/>
      <c r="E19" s="58"/>
      <c r="F19" s="59"/>
      <c r="G19" s="43"/>
      <c r="H19" s="22"/>
      <c r="I19" s="19">
        <f t="shared" si="0"/>
        <v>0</v>
      </c>
    </row>
    <row r="20" spans="1:12" s="9" customFormat="1" ht="15" customHeight="1" x14ac:dyDescent="0.2">
      <c r="A20" s="20"/>
      <c r="B20" s="21"/>
      <c r="C20" s="71"/>
      <c r="D20" s="72"/>
      <c r="E20" s="58"/>
      <c r="F20" s="59"/>
      <c r="G20" s="43"/>
      <c r="H20" s="22"/>
      <c r="I20" s="19">
        <f t="shared" si="0"/>
        <v>0</v>
      </c>
    </row>
    <row r="21" spans="1:12" s="9" customFormat="1" ht="15" customHeight="1" x14ac:dyDescent="0.2">
      <c r="A21" s="23"/>
      <c r="B21" s="21"/>
      <c r="C21" s="67"/>
      <c r="D21" s="59"/>
      <c r="E21" s="67"/>
      <c r="F21" s="59"/>
      <c r="G21" s="47"/>
      <c r="H21" s="22"/>
      <c r="I21" s="19">
        <f t="shared" si="0"/>
        <v>0</v>
      </c>
    </row>
    <row r="22" spans="1:12" s="9" customFormat="1" ht="15" customHeight="1" x14ac:dyDescent="0.2">
      <c r="A22" s="23"/>
      <c r="B22" s="21"/>
      <c r="C22" s="67"/>
      <c r="D22" s="59"/>
      <c r="E22" s="67"/>
      <c r="F22" s="59"/>
      <c r="G22" s="47"/>
      <c r="H22" s="22"/>
      <c r="I22" s="19">
        <f t="shared" si="0"/>
        <v>0</v>
      </c>
      <c r="L22" s="9" t="s">
        <v>43</v>
      </c>
    </row>
    <row r="23" spans="1:12" s="9" customFormat="1" ht="15" customHeight="1" thickBot="1" x14ac:dyDescent="0.25">
      <c r="A23" s="24"/>
      <c r="B23" s="68"/>
      <c r="C23" s="69"/>
      <c r="D23" s="69"/>
      <c r="E23" s="24"/>
      <c r="F23" s="24"/>
      <c r="G23" s="24"/>
      <c r="H23" s="24" t="s">
        <v>44</v>
      </c>
      <c r="I23" s="25">
        <f>SUM(I9:I22)</f>
        <v>0</v>
      </c>
    </row>
    <row r="24" spans="1:12" s="9" customFormat="1" ht="15" customHeight="1" thickBot="1" x14ac:dyDescent="0.3">
      <c r="A24" s="60" t="s">
        <v>45</v>
      </c>
      <c r="B24" s="61"/>
      <c r="C24" s="27"/>
      <c r="D24" s="28"/>
      <c r="E24" s="29"/>
      <c r="F24" s="30" t="s">
        <v>46</v>
      </c>
      <c r="G24" s="31"/>
      <c r="H24" s="24" t="s">
        <v>47</v>
      </c>
      <c r="I24" s="25"/>
    </row>
    <row r="25" spans="1:12" s="9" customFormat="1" ht="15" customHeight="1" x14ac:dyDescent="0.2">
      <c r="A25" s="24"/>
      <c r="B25" s="24"/>
      <c r="C25" s="24"/>
      <c r="D25" s="24"/>
      <c r="E25" s="24"/>
      <c r="F25" s="24"/>
      <c r="G25" s="24"/>
      <c r="H25" s="24" t="s">
        <v>48</v>
      </c>
      <c r="I25" s="25"/>
    </row>
    <row r="26" spans="1:12" s="9" customFormat="1" ht="15" customHeight="1" x14ac:dyDescent="0.2">
      <c r="A26" s="80"/>
      <c r="B26" s="59"/>
      <c r="C26" s="24"/>
      <c r="D26" s="24"/>
      <c r="E26" s="24"/>
      <c r="F26" s="24"/>
      <c r="G26" s="24"/>
      <c r="H26" s="24" t="s">
        <v>49</v>
      </c>
      <c r="I26" s="25">
        <f>SUM(I23:I25)</f>
        <v>0</v>
      </c>
    </row>
    <row r="27" spans="1:12" ht="15" customHeight="1" x14ac:dyDescent="0.2">
      <c r="A27" s="7" t="s">
        <v>50</v>
      </c>
      <c r="B27" s="7"/>
      <c r="C27" s="7"/>
      <c r="D27" s="2"/>
      <c r="E27" s="2"/>
      <c r="F27" s="2"/>
      <c r="G27" s="2"/>
      <c r="H27" s="8"/>
    </row>
    <row r="28" spans="1:12" ht="15" customHeight="1" x14ac:dyDescent="0.25">
      <c r="A28" s="90" t="s">
        <v>51</v>
      </c>
      <c r="B28" s="69"/>
      <c r="C28" s="69"/>
      <c r="D28" s="69"/>
      <c r="E28" s="69"/>
      <c r="F28" s="69"/>
      <c r="G28" s="69"/>
      <c r="H28" s="91"/>
    </row>
    <row r="29" spans="1:12" ht="27" customHeight="1" x14ac:dyDescent="0.2">
      <c r="A29" s="62" t="str">
        <f>VLOOKUP(A28, Sheet1!$A$3:$C$31, 2, FALSE)</f>
        <v>Business Purpose:  Materials and supplies purchased to complete a designated project by students and/or departmental employees.</v>
      </c>
      <c r="B29" s="63"/>
      <c r="C29" s="63"/>
      <c r="D29" s="63"/>
      <c r="E29" s="63"/>
      <c r="F29" s="63"/>
      <c r="G29" s="63"/>
      <c r="H29" s="64"/>
    </row>
    <row r="30" spans="1:12" ht="15.75" customHeight="1" x14ac:dyDescent="0.2">
      <c r="A30" s="62"/>
      <c r="B30" s="63"/>
      <c r="C30" s="63"/>
      <c r="D30" s="63"/>
      <c r="E30" s="63"/>
      <c r="F30" s="63"/>
      <c r="G30" s="63"/>
      <c r="H30" s="64"/>
    </row>
    <row r="31" spans="1:12" ht="60" customHeight="1" x14ac:dyDescent="0.2">
      <c r="A31" s="94" t="str">
        <f>VLOOKUP(A28, Sheet1!$A$3:$C$31, 3, FALSE)</f>
        <v>Public Benefit:  ASU benefits from this expense as the supplies purchased allow departmental lab employees and students to meet the requirements of their designated project and class activities.  The successful completion of project and class activities furthers ASU’s agenda as an exceptional academic institution.</v>
      </c>
      <c r="B31" s="76"/>
      <c r="C31" s="76"/>
      <c r="D31" s="76"/>
      <c r="E31" s="76"/>
      <c r="F31" s="76"/>
      <c r="G31" s="76"/>
      <c r="H31" s="72"/>
    </row>
    <row r="32" spans="1:12" s="9" customFormat="1" ht="19.5" customHeight="1" x14ac:dyDescent="0.2">
      <c r="A32" s="73" t="s">
        <v>52</v>
      </c>
      <c r="B32" s="61"/>
      <c r="C32" s="61"/>
      <c r="D32" s="61"/>
      <c r="E32" s="61"/>
      <c r="F32" s="61"/>
      <c r="G32" s="61"/>
      <c r="H32" s="61"/>
      <c r="I32" s="61"/>
    </row>
    <row r="33" spans="1:9" s="9" customFormat="1" ht="18" customHeight="1" x14ac:dyDescent="0.2">
      <c r="A33" s="73" t="s">
        <v>53</v>
      </c>
      <c r="B33" s="61"/>
      <c r="C33" s="61"/>
      <c r="D33" s="61"/>
      <c r="E33" s="61"/>
      <c r="F33" s="61"/>
      <c r="G33" s="61"/>
      <c r="H33" s="61"/>
      <c r="I33" s="61"/>
    </row>
    <row r="34" spans="1:9" s="9" customFormat="1" ht="17.25" customHeight="1" x14ac:dyDescent="0.2">
      <c r="A34" s="48"/>
      <c r="B34" s="73" t="s">
        <v>54</v>
      </c>
      <c r="C34" s="61"/>
      <c r="D34" s="61"/>
      <c r="E34" s="61"/>
      <c r="F34" s="61"/>
      <c r="G34" s="61"/>
      <c r="H34" s="61"/>
      <c r="I34" s="61"/>
    </row>
    <row r="35" spans="1:9" s="26" customFormat="1" ht="24" customHeight="1" x14ac:dyDescent="0.2">
      <c r="A35" s="78" t="s">
        <v>55</v>
      </c>
      <c r="B35" s="79"/>
      <c r="C35" s="79"/>
      <c r="D35" s="79"/>
      <c r="E35" s="79"/>
      <c r="F35" s="79"/>
      <c r="G35" s="79"/>
      <c r="H35" s="79"/>
      <c r="I35" s="79"/>
    </row>
    <row r="36" spans="1:9" s="32" customFormat="1" ht="12" customHeight="1" x14ac:dyDescent="0.2">
      <c r="A36" s="86" t="s">
        <v>56</v>
      </c>
      <c r="B36" s="66"/>
      <c r="C36" s="66"/>
      <c r="D36" s="49"/>
      <c r="E36" s="33"/>
      <c r="F36" s="46"/>
      <c r="G36" s="46" t="s">
        <v>57</v>
      </c>
      <c r="H36" s="77"/>
      <c r="I36" s="76"/>
    </row>
    <row r="37" spans="1:9" s="32" customFormat="1" ht="21" customHeight="1" x14ac:dyDescent="0.2">
      <c r="A37" s="65" t="s">
        <v>58</v>
      </c>
      <c r="B37" s="66"/>
      <c r="C37" s="66"/>
      <c r="D37" s="34"/>
      <c r="E37" s="35"/>
      <c r="F37" s="50"/>
      <c r="G37" s="50" t="s">
        <v>59</v>
      </c>
      <c r="H37" s="85"/>
      <c r="I37" s="82"/>
    </row>
    <row r="38" spans="1:9" s="10" customFormat="1" ht="12" customHeight="1" x14ac:dyDescent="0.25">
      <c r="A38" s="36"/>
      <c r="B38" s="36"/>
      <c r="C38" s="37"/>
      <c r="D38" s="37"/>
      <c r="E38" s="37"/>
      <c r="F38" s="37"/>
      <c r="G38" s="37"/>
      <c r="H38" s="37"/>
    </row>
    <row r="39" spans="1:9" s="10" customFormat="1" ht="12" customHeight="1" x14ac:dyDescent="0.25">
      <c r="A39" s="86" t="s">
        <v>60</v>
      </c>
      <c r="B39" s="84"/>
      <c r="C39" s="84"/>
      <c r="D39" s="38"/>
    </row>
    <row r="40" spans="1:9" ht="6.75" customHeight="1" x14ac:dyDescent="0.2"/>
  </sheetData>
  <mergeCells count="53">
    <mergeCell ref="A1:I1"/>
    <mergeCell ref="A28:H28"/>
    <mergeCell ref="E22:F22"/>
    <mergeCell ref="C13:D13"/>
    <mergeCell ref="A6:I6"/>
    <mergeCell ref="C18:D18"/>
    <mergeCell ref="A2:D2"/>
    <mergeCell ref="E18:F18"/>
    <mergeCell ref="E21:F21"/>
    <mergeCell ref="E2:I2"/>
    <mergeCell ref="E11:F11"/>
    <mergeCell ref="H37:I37"/>
    <mergeCell ref="A39:C39"/>
    <mergeCell ref="C17:D17"/>
    <mergeCell ref="C8:D8"/>
    <mergeCell ref="A36:C36"/>
    <mergeCell ref="C7:D7"/>
    <mergeCell ref="A29:H29"/>
    <mergeCell ref="E16:F16"/>
    <mergeCell ref="E7:F7"/>
    <mergeCell ref="C19:D19"/>
    <mergeCell ref="A31:H31"/>
    <mergeCell ref="D4:F4"/>
    <mergeCell ref="E19:F19"/>
    <mergeCell ref="E13:F13"/>
    <mergeCell ref="C22:D22"/>
    <mergeCell ref="H36:I36"/>
    <mergeCell ref="A35:I35"/>
    <mergeCell ref="E9:F9"/>
    <mergeCell ref="A26:B26"/>
    <mergeCell ref="C12:D12"/>
    <mergeCell ref="C21:D21"/>
    <mergeCell ref="D5:F5"/>
    <mergeCell ref="E15:F15"/>
    <mergeCell ref="C11:D11"/>
    <mergeCell ref="B34:I34"/>
    <mergeCell ref="E8:F8"/>
    <mergeCell ref="C20:D20"/>
    <mergeCell ref="E20:F20"/>
    <mergeCell ref="A33:I33"/>
    <mergeCell ref="C10:D10"/>
    <mergeCell ref="C16:D16"/>
    <mergeCell ref="E10:F10"/>
    <mergeCell ref="A32:I32"/>
    <mergeCell ref="E12:F12"/>
    <mergeCell ref="A24:B24"/>
    <mergeCell ref="A30:H30"/>
    <mergeCell ref="A37:C37"/>
    <mergeCell ref="C15:D15"/>
    <mergeCell ref="B23:D23"/>
    <mergeCell ref="C14:D14"/>
    <mergeCell ref="E14:F14"/>
    <mergeCell ref="E17:F17"/>
  </mergeCells>
  <phoneticPr fontId="35" type="noConversion"/>
  <hyperlinks>
    <hyperlink ref="C9" r:id="rId1" display="https://www.digikey.com/en/products/detail/ams-osram-usa-inc./SFH%25203310/2182181?utm_adgroup=&amp;utm_source=google&amp;utm_medium=cpc&amp;utm_campaign=PMax%20Shopping_Product_High%20ROAS%20Categories&amp;utm_term=&amp;utm_content=&amp;utm_id=go_cmp-20222717502_adg-_ad-__dev-c_ext-_prd-2182181_sig-Cj0KCQjwyL24BhCtARIsALo0fSDiVY71lJxIWMS5LDMaQjqT36mUuK9vrlFvG9tfNZNDLtDfc2q5tPUaAr0ZEALw_wcB&amp;gad_source=1&amp;gclid=Cj0KCQjwyL24BhCtARIsALo0fSDiVY71lJxIWMS5LDMaQjqT36mUuK9vrlFvG9tfNZNDLtDfc2q5tPUaAr0ZEALw_wcB" xr:uid="{00000000-0004-0000-0000-000000000000}"/>
    <hyperlink ref="C10" r:id="rId2" display="https://www.digikey.com/en/products/detail/littelfuse-inc/0217005-HXP/777111" xr:uid="{00000000-0004-0000-0000-000001000000}"/>
    <hyperlink ref="C11" r:id="rId3" display="https://www.digikey.be/en/products/detail/sunled/XSFWCB983W/4902333" xr:uid="{00000000-0004-0000-0000-000002000000}"/>
  </hyperlinks>
  <printOptions horizontalCentered="1"/>
  <pageMargins left="0.25" right="0.25" top="0.3" bottom="0.3" header="0" footer="0"/>
  <pageSetup scale="80" orientation="landscape"/>
  <headerFooter alignWithMargins="0">
    <oddFooter>&amp;LS:/Schools/TPS/Business/Forms Purchase Request Form - Rev 8- 30-2017 &amp;RRevised 08/30/2017</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35"/>
  <sheetViews>
    <sheetView workbookViewId="0">
      <selection activeCell="B29" sqref="B29"/>
    </sheetView>
  </sheetViews>
  <sheetFormatPr defaultColWidth="9.140625" defaultRowHeight="15.75" x14ac:dyDescent="0.25"/>
  <cols>
    <col min="1" max="1" width="62.42578125" style="3" bestFit="1" customWidth="1"/>
    <col min="2" max="2" width="59.28515625" style="3" customWidth="1"/>
    <col min="3" max="3" width="58.28515625" style="3" customWidth="1"/>
    <col min="4" max="4" width="12.28515625" style="3" customWidth="1"/>
    <col min="5" max="5" width="55.85546875" style="3" bestFit="1" customWidth="1"/>
    <col min="6" max="6" width="64.28515625" style="3" customWidth="1"/>
    <col min="7" max="7" width="12.28515625" style="3" customWidth="1"/>
    <col min="8" max="8" width="16" style="3" customWidth="1"/>
    <col min="9" max="9" width="17.28515625" style="3" customWidth="1"/>
    <col min="10" max="10" width="24.7109375" style="3" customWidth="1"/>
    <col min="11" max="11" width="9.140625" style="3" customWidth="1"/>
    <col min="12" max="16384" width="9.140625" style="3"/>
  </cols>
  <sheetData>
    <row r="2" spans="1:10" x14ac:dyDescent="0.25">
      <c r="A2" s="4" t="s">
        <v>61</v>
      </c>
      <c r="B2" s="4"/>
      <c r="C2" s="4"/>
      <c r="D2" s="4"/>
      <c r="E2" s="4" t="s">
        <v>62</v>
      </c>
      <c r="F2" s="4"/>
      <c r="G2" s="4"/>
      <c r="H2" s="4"/>
      <c r="I2" s="4"/>
      <c r="J2" s="4"/>
    </row>
    <row r="3" spans="1:10" x14ac:dyDescent="0.25">
      <c r="A3" s="4" t="s">
        <v>63</v>
      </c>
      <c r="B3" s="4" t="s">
        <v>63</v>
      </c>
      <c r="C3" s="4" t="s">
        <v>63</v>
      </c>
      <c r="D3" s="4"/>
      <c r="E3" s="4"/>
      <c r="G3" s="4"/>
      <c r="H3" s="4"/>
      <c r="I3" s="4"/>
      <c r="J3" s="4"/>
    </row>
    <row r="4" spans="1:10" x14ac:dyDescent="0.25">
      <c r="A4" s="3" t="s">
        <v>64</v>
      </c>
      <c r="B4" s="3" t="s">
        <v>65</v>
      </c>
      <c r="C4" s="3" t="s">
        <v>66</v>
      </c>
      <c r="D4" s="3" t="s">
        <v>63</v>
      </c>
      <c r="E4" s="3" t="s">
        <v>67</v>
      </c>
      <c r="F4" s="3" t="s">
        <v>68</v>
      </c>
    </row>
    <row r="5" spans="1:10" x14ac:dyDescent="0.25">
      <c r="A5" s="3" t="s">
        <v>69</v>
      </c>
      <c r="B5" s="3" t="s">
        <v>70</v>
      </c>
      <c r="C5" s="3" t="s">
        <v>71</v>
      </c>
      <c r="D5" s="3" t="s">
        <v>63</v>
      </c>
      <c r="E5" s="3" t="s">
        <v>72</v>
      </c>
      <c r="F5" s="3" t="s">
        <v>73</v>
      </c>
    </row>
    <row r="6" spans="1:10" x14ac:dyDescent="0.25">
      <c r="A6" s="3" t="s">
        <v>74</v>
      </c>
      <c r="B6" s="3" t="s">
        <v>75</v>
      </c>
      <c r="C6" s="3" t="s">
        <v>76</v>
      </c>
      <c r="D6" s="3" t="s">
        <v>63</v>
      </c>
      <c r="E6" s="3" t="s">
        <v>77</v>
      </c>
      <c r="F6" s="3" t="s">
        <v>78</v>
      </c>
    </row>
    <row r="7" spans="1:10" x14ac:dyDescent="0.25">
      <c r="A7" s="3" t="s">
        <v>79</v>
      </c>
      <c r="B7" s="3" t="s">
        <v>80</v>
      </c>
      <c r="C7" s="3" t="s">
        <v>81</v>
      </c>
      <c r="D7" s="3" t="s">
        <v>63</v>
      </c>
    </row>
    <row r="8" spans="1:10" x14ac:dyDescent="0.25">
      <c r="A8" s="3" t="s">
        <v>82</v>
      </c>
      <c r="B8" s="3" t="s">
        <v>83</v>
      </c>
      <c r="C8" s="3" t="s">
        <v>84</v>
      </c>
      <c r="D8" s="3" t="s">
        <v>63</v>
      </c>
    </row>
    <row r="9" spans="1:10" x14ac:dyDescent="0.25">
      <c r="A9" s="3" t="s">
        <v>85</v>
      </c>
      <c r="B9" s="3" t="s">
        <v>86</v>
      </c>
      <c r="C9" s="5" t="s">
        <v>87</v>
      </c>
      <c r="D9" s="3" t="s">
        <v>63</v>
      </c>
    </row>
    <row r="10" spans="1:10" x14ac:dyDescent="0.25">
      <c r="A10" s="3" t="s">
        <v>88</v>
      </c>
      <c r="B10" s="3" t="s">
        <v>89</v>
      </c>
      <c r="C10" s="3" t="s">
        <v>90</v>
      </c>
      <c r="D10" s="3" t="s">
        <v>63</v>
      </c>
    </row>
    <row r="11" spans="1:10" x14ac:dyDescent="0.25">
      <c r="A11" s="3" t="s">
        <v>91</v>
      </c>
      <c r="B11" s="5" t="s">
        <v>92</v>
      </c>
      <c r="C11" s="5" t="s">
        <v>93</v>
      </c>
      <c r="D11" s="3" t="s">
        <v>63</v>
      </c>
    </row>
    <row r="12" spans="1:10" x14ac:dyDescent="0.25">
      <c r="A12" s="3" t="s">
        <v>94</v>
      </c>
      <c r="B12" s="3" t="s">
        <v>95</v>
      </c>
      <c r="C12" s="3" t="s">
        <v>96</v>
      </c>
      <c r="D12" s="3" t="s">
        <v>63</v>
      </c>
    </row>
    <row r="13" spans="1:10" x14ac:dyDescent="0.25">
      <c r="A13" s="3" t="s">
        <v>97</v>
      </c>
      <c r="B13" s="3" t="s">
        <v>98</v>
      </c>
      <c r="C13" s="3" t="s">
        <v>99</v>
      </c>
      <c r="D13" s="3" t="s">
        <v>63</v>
      </c>
    </row>
    <row r="14" spans="1:10" x14ac:dyDescent="0.25">
      <c r="A14" s="3" t="s">
        <v>100</v>
      </c>
      <c r="B14" s="6" t="s">
        <v>101</v>
      </c>
      <c r="C14" s="3" t="s">
        <v>102</v>
      </c>
      <c r="D14" s="3" t="s">
        <v>63</v>
      </c>
    </row>
    <row r="15" spans="1:10" x14ac:dyDescent="0.25">
      <c r="A15" s="3" t="s">
        <v>103</v>
      </c>
      <c r="B15" s="3" t="s">
        <v>104</v>
      </c>
      <c r="C15" s="3" t="s">
        <v>105</v>
      </c>
      <c r="D15" s="3" t="s">
        <v>63</v>
      </c>
    </row>
    <row r="16" spans="1:10" x14ac:dyDescent="0.25">
      <c r="A16" s="3" t="s">
        <v>106</v>
      </c>
      <c r="B16" s="3" t="s">
        <v>107</v>
      </c>
      <c r="C16" s="5" t="s">
        <v>108</v>
      </c>
      <c r="D16" s="3" t="s">
        <v>63</v>
      </c>
    </row>
    <row r="17" spans="1:4" x14ac:dyDescent="0.25">
      <c r="A17" s="3" t="s">
        <v>109</v>
      </c>
      <c r="B17" s="5" t="s">
        <v>110</v>
      </c>
      <c r="C17" s="3" t="s">
        <v>111</v>
      </c>
      <c r="D17" s="3" t="s">
        <v>63</v>
      </c>
    </row>
    <row r="18" spans="1:4" x14ac:dyDescent="0.25">
      <c r="A18" s="3" t="s">
        <v>112</v>
      </c>
      <c r="B18" s="3" t="s">
        <v>113</v>
      </c>
      <c r="C18" s="3" t="s">
        <v>114</v>
      </c>
      <c r="D18" s="3" t="s">
        <v>63</v>
      </c>
    </row>
    <row r="19" spans="1:4" x14ac:dyDescent="0.25">
      <c r="A19" s="3" t="s">
        <v>115</v>
      </c>
      <c r="B19" s="3" t="s">
        <v>116</v>
      </c>
      <c r="C19" s="5" t="s">
        <v>117</v>
      </c>
      <c r="D19" s="3" t="s">
        <v>63</v>
      </c>
    </row>
    <row r="20" spans="1:4" x14ac:dyDescent="0.25">
      <c r="A20" s="3" t="s">
        <v>118</v>
      </c>
      <c r="B20" s="6" t="s">
        <v>119</v>
      </c>
      <c r="C20" s="3" t="s">
        <v>120</v>
      </c>
      <c r="D20" s="3" t="s">
        <v>63</v>
      </c>
    </row>
    <row r="21" spans="1:4" x14ac:dyDescent="0.25">
      <c r="A21" s="3" t="s">
        <v>121</v>
      </c>
      <c r="B21" s="5" t="s">
        <v>122</v>
      </c>
      <c r="C21" s="5" t="s">
        <v>123</v>
      </c>
      <c r="D21" s="3" t="s">
        <v>63</v>
      </c>
    </row>
    <row r="22" spans="1:4" x14ac:dyDescent="0.25">
      <c r="A22" s="6" t="s">
        <v>124</v>
      </c>
      <c r="B22" s="5" t="s">
        <v>125</v>
      </c>
      <c r="C22" s="5" t="s">
        <v>126</v>
      </c>
      <c r="D22" s="3" t="s">
        <v>63</v>
      </c>
    </row>
    <row r="23" spans="1:4" x14ac:dyDescent="0.25">
      <c r="A23" s="3" t="s">
        <v>127</v>
      </c>
      <c r="B23" s="5" t="s">
        <v>128</v>
      </c>
      <c r="C23" s="5" t="s">
        <v>129</v>
      </c>
      <c r="D23" s="3" t="s">
        <v>63</v>
      </c>
    </row>
    <row r="24" spans="1:4" x14ac:dyDescent="0.25">
      <c r="A24" s="3" t="s">
        <v>130</v>
      </c>
      <c r="B24" s="5" t="s">
        <v>131</v>
      </c>
      <c r="C24" s="5" t="s">
        <v>132</v>
      </c>
      <c r="D24" s="3" t="s">
        <v>63</v>
      </c>
    </row>
    <row r="25" spans="1:4" x14ac:dyDescent="0.25">
      <c r="A25" s="3" t="s">
        <v>133</v>
      </c>
      <c r="B25" s="3" t="s">
        <v>134</v>
      </c>
      <c r="C25" s="3" t="s">
        <v>84</v>
      </c>
      <c r="D25" s="3" t="s">
        <v>63</v>
      </c>
    </row>
    <row r="26" spans="1:4" x14ac:dyDescent="0.25">
      <c r="A26" s="6" t="s">
        <v>51</v>
      </c>
      <c r="B26" s="5" t="s">
        <v>135</v>
      </c>
      <c r="C26" s="5" t="s">
        <v>136</v>
      </c>
      <c r="D26" s="3" t="s">
        <v>63</v>
      </c>
    </row>
    <row r="27" spans="1:4" x14ac:dyDescent="0.25">
      <c r="A27" s="3" t="s">
        <v>137</v>
      </c>
      <c r="B27" s="5" t="s">
        <v>138</v>
      </c>
      <c r="C27" s="5" t="s">
        <v>139</v>
      </c>
      <c r="D27" s="3" t="s">
        <v>63</v>
      </c>
    </row>
    <row r="28" spans="1:4" x14ac:dyDescent="0.25">
      <c r="A28" s="3" t="s">
        <v>140</v>
      </c>
      <c r="B28" s="5" t="s">
        <v>141</v>
      </c>
      <c r="C28" s="5" t="s">
        <v>142</v>
      </c>
      <c r="D28" s="3" t="s">
        <v>63</v>
      </c>
    </row>
    <row r="29" spans="1:4" x14ac:dyDescent="0.25">
      <c r="A29" s="3" t="s">
        <v>143</v>
      </c>
      <c r="B29" s="5" t="s">
        <v>144</v>
      </c>
      <c r="C29" s="5" t="s">
        <v>145</v>
      </c>
      <c r="D29" s="3" t="s">
        <v>63</v>
      </c>
    </row>
    <row r="30" spans="1:4" x14ac:dyDescent="0.25">
      <c r="A30" s="3" t="s">
        <v>146</v>
      </c>
      <c r="B30" s="5" t="s">
        <v>147</v>
      </c>
      <c r="C30" s="5" t="s">
        <v>148</v>
      </c>
      <c r="D30" s="3" t="s">
        <v>63</v>
      </c>
    </row>
    <row r="31" spans="1:4" x14ac:dyDescent="0.25">
      <c r="A31" s="6" t="s">
        <v>149</v>
      </c>
      <c r="B31" s="5" t="s">
        <v>150</v>
      </c>
      <c r="C31" s="5" t="s">
        <v>151</v>
      </c>
      <c r="D31" s="3" t="s">
        <v>63</v>
      </c>
    </row>
    <row r="32" spans="1:4" x14ac:dyDescent="0.25">
      <c r="D32" s="3" t="s">
        <v>63</v>
      </c>
    </row>
    <row r="33" spans="4:4" x14ac:dyDescent="0.25">
      <c r="D33" s="3" t="s">
        <v>63</v>
      </c>
    </row>
    <row r="34" spans="4:4" x14ac:dyDescent="0.25">
      <c r="D34" s="3" t="s">
        <v>63</v>
      </c>
    </row>
    <row r="35" spans="4:4" x14ac:dyDescent="0.25">
      <c r="D35" s="3" t="s">
        <v>63</v>
      </c>
    </row>
  </sheetData>
  <phoneticPr fontId="35"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Purchase Request</vt:lpstr>
      <vt:lpstr>Sheet1</vt:lpstr>
      <vt:lpstr>'Purchase Request'!Print_Area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Billing statement (Garamond Gray design)</dc:title>
  <dc:creator>Lacey Ward</dc:creator>
  <cp:lastModifiedBy>Zice Sun</cp:lastModifiedBy>
  <dcterms:created xsi:type="dcterms:W3CDTF">2014-07-15T00:30:30Z</dcterms:created>
  <dcterms:modified xsi:type="dcterms:W3CDTF">2026-10-31T03:00:54Z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TC101009821033</vt:lpwstr>
  </property>
</Properties>
</file>