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ower Budget" sheetId="1" state="visible" r:id="rId1"/>
  </sheets>
  <definedNames>
    <definedName name="_xlnm.Print_Area" localSheetId="0">'Power Budget'!$A$1:$H$91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color rgb="FF000000"/>
      <sz val="12"/>
    </font>
    <font>
      <name val="Calibri"/>
      <b val="1"/>
      <color rgb="FF000000"/>
      <sz val="24"/>
    </font>
    <font>
      <name val="Calibri"/>
      <b val="1"/>
      <color rgb="FF000000"/>
      <sz val="12"/>
    </font>
    <font/>
    <font>
      <name val="Arial"/>
      <b val="1"/>
      <color rgb="FF000000"/>
      <sz val="12"/>
    </font>
    <font>
      <name val="Arial"/>
      <b val="1"/>
      <i val="1"/>
      <color rgb="FF000000"/>
      <sz val="12"/>
    </font>
    <font>
      <name val="Arial"/>
      <color rgb="FF000000"/>
      <sz val="12"/>
    </font>
    <font>
      <name val="Calibri"/>
      <b val="1"/>
      <i val="1"/>
      <color rgb="FF000000"/>
      <sz val="12"/>
    </font>
    <font>
      <name val="Arial"/>
    </font>
    <font>
      <name val="Arial"/>
      <color rgb="FF000000"/>
    </font>
  </fonts>
  <fills count="5">
    <fill>
      <patternFill/>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right/>
      <top style="thin">
        <color rgb="FF000000"/>
      </top>
      <bottom style="thin">
        <color rgb="FF000000"/>
      </bottom>
    </border>
    <border>
      <left/>
      <right/>
      <bottom/>
    </border>
    <border>
      <left/>
      <right/>
      <top style="thin">
        <color rgb="FF000000"/>
      </top>
      <bottom/>
    </border>
    <border>
      <left/>
      <top style="thin">
        <color rgb="FF000000"/>
      </top>
      <bottom/>
    </border>
    <border>
      <top style="thin">
        <color rgb="FF000000"/>
      </top>
    </border>
    <border>
      <right style="thin">
        <color rgb="FF000000"/>
      </right>
      <top style="thin">
        <color rgb="FF000000"/>
      </top>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horizontal="center"/>
    </xf>
    <xf numFmtId="0" fontId="2" fillId="0" borderId="1" pivotButton="0" quotePrefix="0" xfId="0"/>
    <xf numFmtId="0" fontId="3" fillId="0" borderId="1" pivotButton="0" quotePrefix="0" xfId="0"/>
    <xf numFmtId="0" fontId="2" fillId="0" borderId="0" applyAlignment="1" pivotButton="0" quotePrefix="0" xfId="0">
      <alignment horizontal="center"/>
    </xf>
    <xf numFmtId="0" fontId="4" fillId="0" borderId="1" pivotButton="0" quotePrefix="0" xfId="0"/>
    <xf numFmtId="0" fontId="2" fillId="0" borderId="0" pivotButton="0" quotePrefix="0" xfId="0"/>
    <xf numFmtId="0" fontId="4" fillId="0" borderId="0" pivotButton="0" quotePrefix="0" xfId="0"/>
    <xf numFmtId="0" fontId="5" fillId="2" borderId="2" applyAlignment="1" pivotButton="0" quotePrefix="0" xfId="0">
      <alignment wrapText="1"/>
    </xf>
    <xf numFmtId="0" fontId="3" fillId="0" borderId="3" pivotButton="0" quotePrefix="0" xfId="0"/>
    <xf numFmtId="0" fontId="3" fillId="0" borderId="4" pivotButton="0" quotePrefix="0" xfId="0"/>
    <xf numFmtId="0" fontId="4" fillId="3" borderId="2" applyAlignment="1" pivotButton="0" quotePrefix="0" xfId="0">
      <alignment horizontal="center"/>
    </xf>
    <xf numFmtId="0" fontId="2" fillId="3" borderId="5" applyAlignment="1" pivotButton="0" quotePrefix="0" xfId="0">
      <alignment horizontal="center"/>
    </xf>
    <xf numFmtId="0" fontId="4" fillId="3" borderId="5" applyAlignment="1" pivotButton="0" quotePrefix="0" xfId="0">
      <alignment horizontal="center"/>
    </xf>
    <xf numFmtId="0" fontId="4" fillId="3" borderId="6" applyAlignment="1" pivotButton="0" quotePrefix="0" xfId="0">
      <alignment horizontal="center"/>
    </xf>
    <xf numFmtId="0" fontId="4" fillId="3" borderId="7" applyAlignment="1" pivotButton="0" quotePrefix="0" xfId="0">
      <alignment horizontal="center"/>
    </xf>
    <xf numFmtId="0" fontId="0" fillId="0" borderId="8" pivotButton="0" quotePrefix="0" xfId="0"/>
    <xf numFmtId="0" fontId="0" fillId="0" borderId="0" pivotButton="0" quotePrefix="0" xfId="0"/>
    <xf numFmtId="0" fontId="6" fillId="0" borderId="0" applyAlignment="1" pivotButton="0" quotePrefix="0" xfId="0">
      <alignment horizontal="center"/>
    </xf>
    <xf numFmtId="0" fontId="0" fillId="0" borderId="0" applyAlignment="1" pivotButton="0" quotePrefix="0" xfId="0">
      <alignment horizontal="center"/>
    </xf>
    <xf numFmtId="0" fontId="0" fillId="0" borderId="9" pivotButton="0" quotePrefix="0" xfId="0"/>
    <xf numFmtId="0" fontId="6" fillId="0" borderId="9" pivotButton="0" quotePrefix="0" xfId="0"/>
    <xf numFmtId="0" fontId="0" fillId="0" borderId="0" pivotButton="0" quotePrefix="0" xfId="0"/>
    <xf numFmtId="0" fontId="6" fillId="0" borderId="0" pivotButton="0" quotePrefix="0" xfId="0"/>
    <xf numFmtId="49" fontId="6" fillId="0" borderId="0" applyAlignment="1" pivotButton="0" quotePrefix="0" xfId="0">
      <alignment horizontal="center"/>
    </xf>
    <xf numFmtId="0" fontId="2" fillId="0" borderId="8" pivotButton="0" quotePrefix="0" xfId="0"/>
    <xf numFmtId="0" fontId="2" fillId="0" borderId="0" pivotButton="0" quotePrefix="0" xfId="0"/>
    <xf numFmtId="0" fontId="4" fillId="0" borderId="0" applyAlignment="1" pivotButton="0" quotePrefix="0" xfId="0">
      <alignment horizontal="center"/>
    </xf>
    <xf numFmtId="0" fontId="2" fillId="0" borderId="9" pivotButton="0" quotePrefix="0" xfId="0"/>
    <xf numFmtId="0" fontId="5" fillId="3" borderId="10" pivotButton="0" quotePrefix="0" xfId="0"/>
    <xf numFmtId="0" fontId="7" fillId="0" borderId="0" applyAlignment="1" pivotButton="0" quotePrefix="0" xfId="0">
      <alignment horizontal="right"/>
    </xf>
    <xf numFmtId="9" fontId="0" fillId="0" borderId="9" pivotButton="0" quotePrefix="0" xfId="0"/>
    <xf numFmtId="0" fontId="7" fillId="0" borderId="8" pivotButton="0" quotePrefix="0" xfId="0"/>
    <xf numFmtId="0" fontId="5" fillId="0" borderId="0" applyAlignment="1" pivotButton="0" quotePrefix="0" xfId="0">
      <alignment horizontal="right"/>
    </xf>
    <xf numFmtId="0" fontId="5" fillId="0" borderId="8" applyAlignment="1" pivotButton="0" quotePrefix="0" xfId="0">
      <alignment horizontal="left"/>
    </xf>
    <xf numFmtId="0" fontId="6" fillId="0" borderId="0" applyAlignment="1" pivotButton="0" quotePrefix="0" xfId="0">
      <alignment horizontal="left"/>
    </xf>
    <xf numFmtId="0" fontId="6" fillId="0" borderId="0" applyAlignment="1" pivotButton="0" quotePrefix="0" xfId="0">
      <alignment horizontal="right"/>
    </xf>
    <xf numFmtId="0" fontId="0" fillId="0" borderId="9" applyAlignment="1" pivotButton="0" quotePrefix="0" xfId="0">
      <alignment horizontal="right"/>
    </xf>
    <xf numFmtId="0" fontId="5" fillId="0" borderId="11" applyAlignment="1" pivotButton="0" quotePrefix="0" xfId="0">
      <alignment horizontal="left"/>
    </xf>
    <xf numFmtId="49" fontId="5" fillId="0" borderId="12" applyAlignment="1" pivotButton="0" quotePrefix="0" xfId="0">
      <alignment horizontal="right"/>
    </xf>
    <xf numFmtId="0" fontId="3" fillId="0" borderId="12" pivotButton="0" quotePrefix="0" xfId="0"/>
    <xf numFmtId="0" fontId="4" fillId="3" borderId="1" applyAlignment="1" pivotButton="0" quotePrefix="0" xfId="0">
      <alignment horizontal="center"/>
    </xf>
    <xf numFmtId="0" fontId="0" fillId="0" borderId="8" pivotButton="0" quotePrefix="0" xfId="0"/>
    <xf numFmtId="49" fontId="5" fillId="0" borderId="0" applyAlignment="1" pivotButton="0" quotePrefix="0" xfId="0">
      <alignment horizontal="right"/>
    </xf>
    <xf numFmtId="0" fontId="5" fillId="0" borderId="8" applyAlignment="1" pivotButton="0" quotePrefix="0" xfId="0">
      <alignment wrapText="1"/>
    </xf>
    <xf numFmtId="0" fontId="5" fillId="0" borderId="0" applyAlignment="1" pivotButton="0" quotePrefix="0" xfId="0">
      <alignment wrapText="1"/>
    </xf>
    <xf numFmtId="0" fontId="5" fillId="0" borderId="8" pivotButton="0" quotePrefix="0" xfId="0"/>
    <xf numFmtId="0" fontId="5" fillId="0" borderId="9" pivotButton="0" quotePrefix="0" xfId="0"/>
    <xf numFmtId="0" fontId="5" fillId="0" borderId="11" applyAlignment="1" pivotButton="0" quotePrefix="0" xfId="0">
      <alignment wrapText="1"/>
    </xf>
    <xf numFmtId="0" fontId="3" fillId="0" borderId="13" pivotButton="0" quotePrefix="0" xfId="0"/>
    <xf numFmtId="0" fontId="4" fillId="3" borderId="5" applyAlignment="1" pivotButton="0" quotePrefix="0" xfId="0">
      <alignment horizontal="center" wrapText="1"/>
    </xf>
    <xf numFmtId="0" fontId="4" fillId="0" borderId="8" applyAlignment="1" pivotButton="0" quotePrefix="0" xfId="0">
      <alignment horizontal="left"/>
    </xf>
    <xf numFmtId="0" fontId="6" fillId="0" borderId="9" applyAlignment="1" pivotButton="0" quotePrefix="0" xfId="0">
      <alignment horizontal="right"/>
    </xf>
    <xf numFmtId="0" fontId="6" fillId="0" borderId="14" applyAlignment="1" pivotButton="0" quotePrefix="0" xfId="0">
      <alignment horizontal="left"/>
    </xf>
    <xf numFmtId="0" fontId="4" fillId="0" borderId="8" applyAlignment="1" pivotButton="0" quotePrefix="0" xfId="0">
      <alignment horizontal="center"/>
    </xf>
    <xf numFmtId="0" fontId="6" fillId="0" borderId="14" pivotButton="0" quotePrefix="0" xfId="0"/>
    <xf numFmtId="0" fontId="4" fillId="0" borderId="8" applyAlignment="1" pivotButton="0" quotePrefix="0" xfId="0">
      <alignment horizontal="left" vertical="center" wrapText="1"/>
    </xf>
    <xf numFmtId="0" fontId="3" fillId="0" borderId="8" pivotButton="0" quotePrefix="0" xfId="0"/>
    <xf numFmtId="0" fontId="4" fillId="0" borderId="9" applyAlignment="1" pivotButton="0" quotePrefix="0" xfId="0">
      <alignment horizontal="center"/>
    </xf>
    <xf numFmtId="0" fontId="4" fillId="0" borderId="14" applyAlignment="1" pivotButton="0" quotePrefix="0" xfId="0">
      <alignment horizontal="center"/>
    </xf>
    <xf numFmtId="0" fontId="8" fillId="0" borderId="0" pivotButton="0" quotePrefix="0" xfId="0"/>
    <xf numFmtId="0" fontId="0" fillId="0" borderId="9" applyAlignment="1" pivotButton="0" quotePrefix="0" xfId="0">
      <alignment horizontal="center"/>
    </xf>
    <xf numFmtId="0" fontId="3" fillId="0" borderId="15" pivotButton="0" quotePrefix="0" xfId="0"/>
    <xf numFmtId="0" fontId="7" fillId="2" borderId="1" pivotButton="0" quotePrefix="0" xfId="0"/>
    <xf numFmtId="0" fontId="2" fillId="3" borderId="8" pivotButton="0" quotePrefix="0" xfId="0"/>
    <xf numFmtId="0" fontId="2" fillId="3" borderId="16" pivotButton="0" quotePrefix="0" xfId="0"/>
    <xf numFmtId="0" fontId="4" fillId="3" borderId="17" applyAlignment="1" pivotButton="0" quotePrefix="0" xfId="0">
      <alignment horizontal="center"/>
    </xf>
    <xf numFmtId="0" fontId="4" fillId="3" borderId="18" applyAlignment="1" pivotButton="0" quotePrefix="0" xfId="0">
      <alignment horizontal="center"/>
    </xf>
    <xf numFmtId="0" fontId="4" fillId="3" borderId="9" applyAlignment="1" pivotButton="0" quotePrefix="0" xfId="0">
      <alignment horizontal="center"/>
    </xf>
    <xf numFmtId="0" fontId="2" fillId="3" borderId="9" pivotButton="0" quotePrefix="0" xfId="0"/>
    <xf numFmtId="0" fontId="0" fillId="0" borderId="9" pivotButton="0" quotePrefix="0" xfId="0"/>
    <xf numFmtId="0" fontId="5" fillId="2" borderId="0" pivotButton="0" quotePrefix="0" xfId="0"/>
    <xf numFmtId="0" fontId="0" fillId="2" borderId="0" pivotButton="0" quotePrefix="0" xfId="0"/>
    <xf numFmtId="0" fontId="6" fillId="0" borderId="0" applyAlignment="1" pivotButton="0" quotePrefix="0" xfId="0">
      <alignment wrapText="1"/>
    </xf>
    <xf numFmtId="0" fontId="9" fillId="4" borderId="0" applyAlignment="1" pivotButton="0" quotePrefix="0" xfId="0">
      <alignment horizontal="left" wrapText="1"/>
    </xf>
    <xf numFmtId="0" fontId="0" fillId="0" borderId="0" pivotButton="0" quotePrefix="0" xfId="0"/>
    <xf numFmtId="0" fontId="0" fillId="0" borderId="3" pivotButton="0" quotePrefix="0" xfId="0"/>
    <xf numFmtId="0" fontId="0" fillId="0" borderId="4" pivotButton="0" quotePrefix="0" xfId="0"/>
    <xf numFmtId="0" fontId="5" fillId="2" borderId="1" applyAlignment="1" pivotButton="0" quotePrefix="0" xfId="0">
      <alignment vertical="center" wrapText="1"/>
    </xf>
    <xf numFmtId="0" fontId="0" fillId="0" borderId="0" applyAlignment="1" pivotButton="0" quotePrefix="0" xfId="0">
      <alignment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vertical="center" wrapText="1"/>
    </xf>
    <xf numFmtId="164" fontId="0" fillId="0" borderId="9" applyAlignment="1" pivotButton="0" quotePrefix="0" xfId="0">
      <alignment vertical="center" wrapText="1"/>
    </xf>
    <xf numFmtId="0" fontId="6" fillId="0" borderId="9" applyAlignment="1" pivotButton="0" quotePrefix="0" xfId="0">
      <alignment vertical="center" wrapText="1"/>
    </xf>
    <xf numFmtId="0" fontId="6" fillId="0" borderId="0" applyAlignment="1" pivotButton="0" quotePrefix="0" xfId="0">
      <alignment vertical="center" wrapText="1"/>
    </xf>
    <xf numFmtId="49" fontId="6" fillId="0" borderId="0" applyAlignment="1" pivotButton="0" quotePrefix="0" xfId="0">
      <alignment horizontal="center" vertical="center" wrapText="1"/>
    </xf>
    <xf numFmtId="164" fontId="6" fillId="0" borderId="0" applyAlignment="1" pivotButton="0" quotePrefix="0" xfId="0">
      <alignment vertical="center" wrapText="1"/>
    </xf>
    <xf numFmtId="0" fontId="0" fillId="0" borderId="9" applyAlignment="1" pivotButton="0" quotePrefix="0" xfId="0">
      <alignment vertical="center" wrapText="1"/>
    </xf>
    <xf numFmtId="0" fontId="0" fillId="0" borderId="12" pivotButton="0" quotePrefix="0" xfId="0"/>
    <xf numFmtId="165" fontId="0" fillId="0" borderId="9" pivotButton="0" quotePrefix="0" xfId="0"/>
    <xf numFmtId="0" fontId="6" fillId="0" borderId="0" applyAlignment="1" pivotButton="0" quotePrefix="0" xfId="0">
      <alignment horizontal="left" vertical="center" wrapText="1"/>
    </xf>
    <xf numFmtId="0" fontId="6" fillId="0" borderId="0" applyAlignment="1" pivotButton="0" quotePrefix="0" xfId="0">
      <alignment horizontal="right" vertical="center" wrapText="1"/>
    </xf>
    <xf numFmtId="0" fontId="0" fillId="0" borderId="9" applyAlignment="1" pivotButton="0" quotePrefix="0" xfId="0">
      <alignment horizontal="right" vertical="center" wrapText="1"/>
    </xf>
    <xf numFmtId="165" fontId="0" fillId="0" borderId="9" applyAlignment="1" pivotButton="0" quotePrefix="0" xfId="0">
      <alignment horizontal="right"/>
    </xf>
    <xf numFmtId="0" fontId="5" fillId="0" borderId="7" applyAlignment="1" pivotButton="0" quotePrefix="0" xfId="0">
      <alignment wrapText="1"/>
    </xf>
    <xf numFmtId="0" fontId="0" fillId="0" borderId="13" pivotButton="0" quotePrefix="0" xfId="0"/>
    <xf numFmtId="0" fontId="6" fillId="0" borderId="9" applyAlignment="1" pivotButton="0" quotePrefix="0" xfId="0">
      <alignment horizontal="right" vertical="center" wrapText="1"/>
    </xf>
    <xf numFmtId="0" fontId="6" fillId="0" borderId="14" applyAlignment="1" pivotButton="0" quotePrefix="0" xfId="0">
      <alignment horizontal="left" vertical="center" wrapText="1"/>
    </xf>
    <xf numFmtId="0" fontId="0" fillId="0" borderId="8" pivotButton="0" quotePrefix="0" xfId="0"/>
    <xf numFmtId="165" fontId="6" fillId="0" borderId="9" applyAlignment="1" pivotButton="0" quotePrefix="0" xfId="0">
      <alignment horizontal="right"/>
    </xf>
    <xf numFmtId="0" fontId="5" fillId="2" borderId="10" applyAlignment="1" pivotButton="0" quotePrefix="0" xfId="0">
      <alignment vertical="center" wrapText="1"/>
    </xf>
    <xf numFmtId="0" fontId="9" fillId="4" borderId="0" applyAlignment="1" pivotButton="0" quotePrefix="0" xfId="0">
      <alignment horizontal="left" vertical="center" wrapText="1"/>
    </xf>
    <xf numFmtId="0" fontId="9" fillId="4" borderId="0" applyAlignment="1" pivotButton="0" quotePrefix="0" xfId="0">
      <alignment vertical="top" wrapText="1"/>
    </xf>
    <xf numFmtId="0" fontId="4" fillId="3" borderId="2" applyAlignment="1" pivotButton="0" quotePrefix="0" xfId="0">
      <alignment horizontal="center" vertical="center" wrapText="1"/>
    </xf>
    <xf numFmtId="0" fontId="2" fillId="3" borderId="5"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6" applyAlignment="1" pivotButton="0" quotePrefix="0" xfId="0">
      <alignment horizontal="center" vertical="center" wrapText="1"/>
    </xf>
    <xf numFmtId="0" fontId="4" fillId="3" borderId="7" applyAlignment="1" pivotButton="0" quotePrefix="0" xfId="0">
      <alignment horizontal="center" vertical="center" wrapText="1"/>
    </xf>
    <xf numFmtId="0" fontId="5" fillId="3" borderId="10" applyAlignment="1" pivotButton="0" quotePrefix="0" xfId="0">
      <alignment horizontal="center" vertical="center" wrapText="1"/>
    </xf>
    <xf numFmtId="0" fontId="5" fillId="0" borderId="8" applyAlignment="1" pivotButton="0" quotePrefix="0" xfId="0">
      <alignment horizontal="left" vertical="center" wrapText="1"/>
    </xf>
    <xf numFmtId="0" fontId="4" fillId="3" borderId="1" applyAlignment="1" pivotButton="0" quotePrefix="0" xfId="0">
      <alignment horizontal="center" vertical="center" wrapText="1"/>
    </xf>
    <xf numFmtId="0" fontId="2" fillId="3" borderId="8" applyAlignment="1" pivotButton="0" quotePrefix="0" xfId="0">
      <alignment horizontal="center" vertical="center" wrapText="1"/>
    </xf>
    <xf numFmtId="0" fontId="2" fillId="3" borderId="16" applyAlignment="1" pivotButton="0" quotePrefix="0" xfId="0">
      <alignment horizontal="center" vertical="center" wrapText="1"/>
    </xf>
    <xf numFmtId="0" fontId="4" fillId="3" borderId="17" applyAlignment="1" pivotButton="0" quotePrefix="0" xfId="0">
      <alignment horizontal="center" vertical="center" wrapText="1"/>
    </xf>
    <xf numFmtId="0" fontId="4" fillId="3" borderId="18" applyAlignment="1" pivotButton="0" quotePrefix="0" xfId="0">
      <alignment horizontal="center" vertical="center" wrapText="1"/>
    </xf>
    <xf numFmtId="0" fontId="4" fillId="3" borderId="9" applyAlignment="1" pivotButton="0" quotePrefix="0" xfId="0">
      <alignment horizontal="center" vertical="center" wrapText="1"/>
    </xf>
    <xf numFmtId="0" fontId="2" fillId="3" borderId="9" applyAlignment="1" pivotButton="0" quotePrefix="0" xfId="0">
      <alignment horizontal="center" vertical="center" wrapText="1"/>
    </xf>
  </cellXfs>
  <cellStyles count="1">
    <cellStyle name="Normal" xfId="0" builtinId="0"/>
  </cellStyles>
  <dxfs count="1">
    <dxf>
      <font>
        <color rgb="FF000000"/>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F8" authorId="0" shapeId="0">
      <text>
        <t>For inductive loads (e.g., motors, solenoids) this is often called "stall current" on the data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fitToPage="1"/>
  </sheetPr>
  <dimension ref="A1:H91"/>
  <sheetViews>
    <sheetView workbookViewId="0">
      <selection activeCell="A1" sqref="A1"/>
    </sheetView>
  </sheetViews>
  <sheetFormatPr baseColWidth="8" defaultColWidth="13.44" defaultRowHeight="15.75" customHeight="1"/>
  <cols>
    <col width="31" customWidth="1" style="75" min="1" max="1"/>
    <col width="30" customWidth="1" style="75" min="2" max="2"/>
    <col width="22" customWidth="1" style="75" min="3" max="3"/>
    <col width="11.44" customWidth="1" style="75" min="4" max="4"/>
    <col width="8" customWidth="1" style="75" min="5" max="5"/>
    <col width="13" customWidth="1" style="75" min="6" max="6"/>
    <col width="13" customWidth="1" style="75" min="7" max="7"/>
    <col width="9" customWidth="1" style="75" min="8" max="8"/>
  </cols>
  <sheetData>
    <row r="1" ht="30" customHeight="1" s="75">
      <c r="A1" s="1" t="inlineStr">
        <is>
          <t>Power Budget: Force Sensing Board</t>
        </is>
      </c>
    </row>
    <row r="2" ht="15" customHeight="1" s="75">
      <c r="A2" s="2" t="inlineStr">
        <is>
          <t>Team Number:</t>
        </is>
      </c>
      <c r="B2" s="3" t="inlineStr">
        <is>
          <t>103</t>
        </is>
      </c>
      <c r="C2" s="76" t="n"/>
      <c r="D2" s="76" t="n"/>
      <c r="E2" s="77" t="n"/>
    </row>
    <row r="3" ht="15" customHeight="1" s="75">
      <c r="A3" s="5" t="inlineStr">
        <is>
          <t>Project Name:</t>
        </is>
      </c>
      <c r="B3" s="2" t="inlineStr">
        <is>
          <t>GripRx</t>
        </is>
      </c>
      <c r="C3" s="76" t="n"/>
      <c r="D3" s="76" t="n"/>
      <c r="E3" s="77" t="n"/>
      <c r="F3" s="26" t="n"/>
      <c r="G3" s="26" t="n"/>
      <c r="H3" s="26" t="n"/>
    </row>
    <row r="4" ht="15" customHeight="1" s="75">
      <c r="A4" s="5" t="inlineStr">
        <is>
          <t>Team Member Names:</t>
        </is>
      </c>
      <c r="B4" s="2" t="inlineStr">
        <is>
          <t>Duotao Gao, Gabriel Toneser Facchin, Zice Sun</t>
        </is>
      </c>
      <c r="C4" s="76" t="n"/>
      <c r="D4" s="76" t="n"/>
      <c r="E4" s="77" t="n"/>
      <c r="F4" s="26" t="n"/>
      <c r="G4" s="26" t="n"/>
      <c r="H4" s="26" t="n"/>
    </row>
    <row r="5" ht="15" customHeight="1" s="75">
      <c r="A5" s="5" t="inlineStr">
        <is>
          <t>Version:</t>
        </is>
      </c>
      <c r="B5" s="2" t="inlineStr">
        <is>
          <t>2 (Zice Sun, 2026-10-26: MCP6004 removed per instructor feedback)</t>
        </is>
      </c>
      <c r="C5" s="76" t="n"/>
      <c r="D5" s="76" t="n"/>
      <c r="E5" s="77" t="n"/>
      <c r="F5" s="26" t="n"/>
      <c r="G5" s="26" t="n"/>
      <c r="H5" s="26" t="n"/>
    </row>
    <row r="6" ht="15" customHeight="1" s="75">
      <c r="A6" s="7" t="n"/>
      <c r="B6" s="26" t="n"/>
      <c r="C6" s="26" t="n"/>
      <c r="D6" s="4" t="n"/>
      <c r="E6" s="4" t="n"/>
      <c r="F6" s="26" t="n"/>
      <c r="G6" s="26" t="n"/>
      <c r="H6" s="26" t="n"/>
    </row>
    <row r="7" ht="30" customHeight="1" s="75">
      <c r="A7" s="78" t="inlineStr">
        <is>
          <t>A. List ALL major components (active devices, integrated circuits, etc.) except for power sources, voltage regulators, resistors, capacitors, or passive elements</t>
        </is>
      </c>
      <c r="B7" s="76" t="n"/>
      <c r="C7" s="76" t="n"/>
      <c r="D7" s="76" t="n"/>
      <c r="E7" s="76" t="n"/>
      <c r="F7" s="76" t="n"/>
      <c r="G7" s="76" t="n"/>
      <c r="H7" s="77" t="n"/>
    </row>
    <row r="8" ht="44" customHeight="1" s="75">
      <c r="A8" s="104" t="inlineStr">
        <is>
          <t>All Major Components</t>
        </is>
      </c>
      <c r="B8" s="105" t="inlineStr">
        <is>
          <t>Component Name</t>
        </is>
      </c>
      <c r="C8" s="105" t="inlineStr">
        <is>
          <t>Part Number</t>
        </is>
      </c>
      <c r="D8" s="106" t="inlineStr">
        <is>
          <t>Supply
Voltage
Range</t>
        </is>
      </c>
      <c r="E8" s="106" t="inlineStr">
        <is>
          <t>#</t>
        </is>
      </c>
      <c r="F8" s="107" t="inlineStr">
        <is>
          <t>Absolute
Maximum
Current (mA)</t>
        </is>
      </c>
      <c r="G8" s="108" t="inlineStr">
        <is>
          <t>Total
Current
(mA)</t>
        </is>
      </c>
      <c r="H8" s="108" t="inlineStr">
        <is>
          <t>Unit</t>
        </is>
      </c>
    </row>
    <row r="9" ht="30" customHeight="1" s="75">
      <c r="A9" s="99" t="n"/>
      <c r="B9" s="79" t="inlineStr">
        <is>
          <t>PIC18F57Q43 Curiosity Nano (MCU board)</t>
        </is>
      </c>
      <c r="C9" s="79" t="inlineStr">
        <is>
          <t>DM164150</t>
        </is>
      </c>
      <c r="D9" s="80" t="inlineStr">
        <is>
          <t>1.8 - 5.5 V</t>
        </is>
      </c>
      <c r="E9" s="81" t="n">
        <v>1</v>
      </c>
      <c r="F9" s="82" t="n">
        <v>350</v>
      </c>
      <c r="G9" s="83">
        <f>E9*F9</f>
        <v/>
      </c>
      <c r="H9" s="84" t="inlineStr">
        <is>
          <t>mA</t>
        </is>
      </c>
    </row>
    <row r="10" ht="30" customHeight="1" s="75">
      <c r="A10" s="99" t="n"/>
      <c r="B10" s="79" t="inlineStr">
        <is>
          <t>Instrumentation amplifier</t>
        </is>
      </c>
      <c r="C10" s="79" t="inlineStr">
        <is>
          <t>INA125P</t>
        </is>
      </c>
      <c r="D10" s="80" t="inlineStr">
        <is>
          <t>2.7 - 36 V</t>
        </is>
      </c>
      <c r="E10" s="81" t="n">
        <v>1</v>
      </c>
      <c r="F10" s="82" t="n">
        <v>12.5</v>
      </c>
      <c r="G10" s="83">
        <f>E10*F10</f>
        <v/>
      </c>
      <c r="H10" s="84" t="inlineStr">
        <is>
          <t>mA</t>
        </is>
      </c>
    </row>
    <row r="11" ht="30" customHeight="1" s="75">
      <c r="A11" s="99" t="n"/>
      <c r="B11" s="79" t="inlineStr">
        <is>
          <t>Load cell (bridge excitation)</t>
        </is>
      </c>
      <c r="C11" s="79" t="inlineStr">
        <is>
          <t>3135_0 (Phidgets)</t>
        </is>
      </c>
      <c r="D11" s="81" t="inlineStr">
        <is>
          <t>5 V max</t>
        </is>
      </c>
      <c r="E11" s="81" t="n">
        <v>1</v>
      </c>
      <c r="F11" s="82" t="n">
        <v>5</v>
      </c>
      <c r="G11" s="83">
        <f>E11*F11</f>
        <v/>
      </c>
      <c r="H11" s="84" t="inlineStr">
        <is>
          <t>mA</t>
        </is>
      </c>
    </row>
    <row r="12" ht="30" customHeight="1" s="75">
      <c r="A12" s="99" t="n"/>
      <c r="B12" s="85" t="n"/>
      <c r="C12" s="85" t="n"/>
      <c r="D12" s="86" t="n"/>
      <c r="E12" s="80" t="n"/>
      <c r="F12" s="87" t="n"/>
      <c r="G12" s="83">
        <f>E12*F12</f>
        <v/>
      </c>
      <c r="H12" s="84" t="inlineStr">
        <is>
          <t>mA</t>
        </is>
      </c>
    </row>
    <row r="13" ht="15" customHeight="1" s="75">
      <c r="A13" s="99" t="n"/>
      <c r="B13" s="79" t="n"/>
      <c r="C13" s="85" t="n"/>
      <c r="D13" s="80" t="n"/>
      <c r="E13" s="81" t="n"/>
      <c r="F13" s="79" t="n"/>
      <c r="G13" s="88" t="n"/>
      <c r="H13" s="84" t="n"/>
    </row>
    <row r="14" ht="15" customHeight="1" s="75">
      <c r="A14" s="99" t="n"/>
      <c r="B14" s="85" t="n"/>
      <c r="C14" s="79" t="n"/>
      <c r="D14" s="80" t="n"/>
      <c r="E14" s="81" t="n"/>
      <c r="F14" s="79" t="n"/>
      <c r="G14" s="88" t="n"/>
      <c r="H14" s="84" t="n"/>
    </row>
    <row r="15" ht="15" customHeight="1" s="75">
      <c r="A15" s="25" t="n"/>
      <c r="B15" s="7" t="n"/>
      <c r="C15" s="26" t="n"/>
      <c r="D15" s="27" t="n"/>
      <c r="E15" s="4" t="n"/>
      <c r="F15" s="26" t="n"/>
      <c r="G15" s="28" t="n"/>
      <c r="H15" s="28" t="n"/>
    </row>
    <row r="16" ht="30" customHeight="1" s="75">
      <c r="A16" s="78" t="inlineStr">
        <is>
          <t>B. Assign each major component above to ONE power rail below. Try to minimize the number of different power rails in the design. 
Add additional power rails or change the power rail voltages if needed.</t>
        </is>
      </c>
      <c r="B16" s="76" t="n"/>
      <c r="C16" s="76" t="n"/>
      <c r="D16" s="76" t="n"/>
      <c r="E16" s="76" t="n"/>
      <c r="F16" s="76" t="n"/>
      <c r="G16" s="76" t="n"/>
      <c r="H16" s="77" t="n"/>
    </row>
    <row r="17" ht="44" customHeight="1" s="75">
      <c r="A17" s="109" t="inlineStr">
        <is>
          <t xml:space="preserve"> +12V Power Rail (not used)</t>
        </is>
      </c>
      <c r="B17" s="105" t="inlineStr">
        <is>
          <t>Component Name</t>
        </is>
      </c>
      <c r="C17" s="105" t="inlineStr">
        <is>
          <t>Part Number</t>
        </is>
      </c>
      <c r="D17" s="106" t="inlineStr">
        <is>
          <t>Supply
Voltage
Range</t>
        </is>
      </c>
      <c r="E17" s="106" t="inlineStr">
        <is>
          <t>#</t>
        </is>
      </c>
      <c r="F17" s="107" t="inlineStr">
        <is>
          <t>Absolute
Maximum
Current (mA)</t>
        </is>
      </c>
      <c r="G17" s="108" t="inlineStr">
        <is>
          <t>Total
Current
(mA)</t>
        </is>
      </c>
      <c r="H17" s="108" t="inlineStr">
        <is>
          <t>Unit</t>
        </is>
      </c>
    </row>
    <row r="18" ht="30" customHeight="1" s="75">
      <c r="A18" s="99" t="n"/>
      <c r="B18" s="0" t="inlineStr">
        <is>
          <t>None on this board</t>
        </is>
      </c>
      <c r="C18" s="0" t="inlineStr">
        <is>
          <t>—</t>
        </is>
      </c>
      <c r="D18" s="18" t="inlineStr">
        <is>
          <t>—</t>
        </is>
      </c>
      <c r="E18" s="19" t="n">
        <v>0</v>
      </c>
      <c r="F18" s="0" t="n">
        <v>0</v>
      </c>
      <c r="G18" s="70">
        <f>E18*F18</f>
        <v/>
      </c>
      <c r="H18" s="21" t="inlineStr">
        <is>
          <t>mA</t>
        </is>
      </c>
    </row>
    <row r="19" ht="15" customHeight="1" s="75">
      <c r="A19" s="99" t="n"/>
      <c r="D19" s="18" t="n"/>
      <c r="E19" s="19" t="n"/>
      <c r="G19" s="70" t="n"/>
      <c r="H19" s="21" t="n"/>
    </row>
    <row r="20" ht="15" customHeight="1" s="75">
      <c r="A20" s="99" t="n"/>
      <c r="D20" s="19" t="n"/>
      <c r="E20" s="19" t="n"/>
      <c r="G20" s="70">
        <f>E20*F20</f>
        <v/>
      </c>
      <c r="H20" s="21" t="inlineStr">
        <is>
          <t>mA</t>
        </is>
      </c>
    </row>
    <row r="21" ht="15" customHeight="1" s="75">
      <c r="A21" s="99" t="n"/>
      <c r="D21" s="19" t="n"/>
      <c r="E21" s="19" t="n"/>
      <c r="G21" s="70">
        <f>E21*F21</f>
        <v/>
      </c>
      <c r="H21" s="21" t="inlineStr">
        <is>
          <t>mA</t>
        </is>
      </c>
    </row>
    <row r="22" ht="15" customHeight="1" s="75">
      <c r="A22" s="99" t="n"/>
      <c r="D22" s="19" t="n"/>
      <c r="E22" s="19" t="n"/>
      <c r="G22" s="70">
        <f>E22*F22</f>
        <v/>
      </c>
      <c r="H22" s="21" t="inlineStr">
        <is>
          <t>mA</t>
        </is>
      </c>
    </row>
    <row r="23" ht="15" customHeight="1" s="75">
      <c r="A23" s="99" t="n"/>
      <c r="B23" s="30" t="inlineStr">
        <is>
          <t xml:space="preserve">Subtotal </t>
        </is>
      </c>
      <c r="G23" s="70">
        <f>SUM(G18:G22)</f>
        <v/>
      </c>
      <c r="H23" s="21" t="inlineStr">
        <is>
          <t>mA</t>
        </is>
      </c>
    </row>
    <row r="24" ht="15" customHeight="1" s="75">
      <c r="A24" s="99" t="n"/>
      <c r="B24" s="30" t="inlineStr">
        <is>
          <t>Safety Margin</t>
        </is>
      </c>
      <c r="G24" s="31" t="n">
        <v>0.25</v>
      </c>
      <c r="H24" s="31" t="n"/>
    </row>
    <row r="25" ht="15" customHeight="1" s="75">
      <c r="A25" s="32" t="n"/>
      <c r="B25" s="33" t="inlineStr">
        <is>
          <t>Total Current Required on +12V Rail</t>
        </is>
      </c>
      <c r="G25" s="70">
        <f>G23*(1+G24)</f>
        <v/>
      </c>
      <c r="H25" s="21" t="inlineStr">
        <is>
          <t>mA</t>
        </is>
      </c>
    </row>
    <row r="26" ht="15" customHeight="1" s="75">
      <c r="A26" s="34" t="n"/>
      <c r="B26" s="35" t="n"/>
      <c r="C26" s="35" t="n"/>
      <c r="D26" s="18" t="n"/>
      <c r="E26" s="18" t="n"/>
      <c r="F26" s="36" t="n"/>
      <c r="G26" s="37" t="n"/>
      <c r="H26" s="70" t="n"/>
    </row>
    <row r="27" ht="30" customHeight="1" s="75">
      <c r="A27" s="110" t="inlineStr">
        <is>
          <t>c1. Regulator or Source Choice</t>
        </is>
      </c>
      <c r="B27" s="35" t="inlineStr">
        <is>
          <t>Not used (no +12 V loads)</t>
        </is>
      </c>
      <c r="C27" s="35" t="inlineStr">
        <is>
          <t>—</t>
        </is>
      </c>
      <c r="D27" s="18" t="inlineStr">
        <is>
          <t>—</t>
        </is>
      </c>
      <c r="E27" s="18" t="n">
        <v>0</v>
      </c>
      <c r="F27" s="36" t="n">
        <v>0</v>
      </c>
      <c r="G27" s="37">
        <f>E27*F27</f>
        <v/>
      </c>
      <c r="H27" s="21" t="inlineStr">
        <is>
          <t>mA</t>
        </is>
      </c>
    </row>
    <row r="28" ht="15" customHeight="1" s="75">
      <c r="A28" s="38" t="n"/>
      <c r="B28" s="39" t="inlineStr">
        <is>
          <t>Total Remaining Current Available on +12V Rail</t>
        </is>
      </c>
      <c r="C28" s="89" t="n"/>
      <c r="D28" s="89" t="n"/>
      <c r="E28" s="89" t="n"/>
      <c r="F28" s="89" t="n"/>
      <c r="G28" s="37">
        <f>G27-G25</f>
        <v/>
      </c>
      <c r="H28" s="21" t="inlineStr">
        <is>
          <t>mA</t>
        </is>
      </c>
    </row>
    <row r="29" ht="44" customHeight="1" s="75">
      <c r="A29" s="109" t="inlineStr">
        <is>
          <t xml:space="preserve"> +5V Power Rail</t>
        </is>
      </c>
      <c r="B29" s="105" t="inlineStr">
        <is>
          <t>Component Name</t>
        </is>
      </c>
      <c r="C29" s="105" t="inlineStr">
        <is>
          <t>Part Number</t>
        </is>
      </c>
      <c r="D29" s="106" t="inlineStr">
        <is>
          <t>Supply
Voltage
Range</t>
        </is>
      </c>
      <c r="E29" s="106" t="inlineStr">
        <is>
          <t>#</t>
        </is>
      </c>
      <c r="F29" s="107" t="inlineStr">
        <is>
          <t>Absolute
Maximum
Current (mA)</t>
        </is>
      </c>
      <c r="G29" s="111" t="inlineStr">
        <is>
          <t>Total
Current
(mA)</t>
        </is>
      </c>
      <c r="H29" s="111" t="inlineStr">
        <is>
          <t>Unit</t>
        </is>
      </c>
    </row>
    <row r="30" ht="30" customHeight="1" s="75">
      <c r="A30" s="99" t="n"/>
      <c r="B30" s="79" t="inlineStr">
        <is>
          <t>PIC18F57Q43 Curiosity Nano (MCU board)</t>
        </is>
      </c>
      <c r="C30" s="79" t="inlineStr">
        <is>
          <t>DM164150</t>
        </is>
      </c>
      <c r="D30" s="81" t="inlineStr">
        <is>
          <t>1.8 - 5.5 V</t>
        </is>
      </c>
      <c r="E30" s="81" t="n">
        <v>1</v>
      </c>
      <c r="F30" s="82" t="n">
        <v>350</v>
      </c>
      <c r="G30" s="83">
        <f>E30*F30</f>
        <v/>
      </c>
      <c r="H30" s="84" t="inlineStr">
        <is>
          <t>mA</t>
        </is>
      </c>
    </row>
    <row r="31" ht="30" customHeight="1" s="75">
      <c r="A31" s="99" t="n"/>
      <c r="B31" s="85" t="inlineStr">
        <is>
          <t>Instrumentation amplifier</t>
        </is>
      </c>
      <c r="C31" s="85" t="inlineStr">
        <is>
          <t>INA125P</t>
        </is>
      </c>
      <c r="D31" s="80" t="inlineStr">
        <is>
          <t>2.7 - 36 V</t>
        </is>
      </c>
      <c r="E31" s="80" t="n">
        <v>1</v>
      </c>
      <c r="F31" s="87" t="n">
        <v>12.5</v>
      </c>
      <c r="G31" s="83">
        <f>E31*F31</f>
        <v/>
      </c>
      <c r="H31" s="84" t="inlineStr">
        <is>
          <t>mA</t>
        </is>
      </c>
    </row>
    <row r="32" ht="30" customHeight="1" s="75">
      <c r="A32" s="99" t="n"/>
      <c r="B32" s="79" t="inlineStr">
        <is>
          <t>Load cell (bridge excitation)</t>
        </is>
      </c>
      <c r="C32" s="79" t="inlineStr">
        <is>
          <t>3135_0 (Phidgets)</t>
        </is>
      </c>
      <c r="D32" s="81" t="inlineStr">
        <is>
          <t>5 V max</t>
        </is>
      </c>
      <c r="E32" s="81" t="n">
        <v>1</v>
      </c>
      <c r="F32" s="82" t="n">
        <v>5</v>
      </c>
      <c r="G32" s="83">
        <f>E32*F32</f>
        <v/>
      </c>
      <c r="H32" s="84" t="inlineStr">
        <is>
          <t>mA</t>
        </is>
      </c>
    </row>
    <row r="33" ht="30" customHeight="1" s="75">
      <c r="A33" s="99" t="n"/>
      <c r="B33" s="79" t="n"/>
      <c r="C33" s="79" t="n"/>
      <c r="D33" s="81" t="n"/>
      <c r="E33" s="81" t="n"/>
      <c r="F33" s="82" t="n"/>
      <c r="G33" s="83">
        <f>E33*F33</f>
        <v/>
      </c>
      <c r="H33" s="84" t="inlineStr">
        <is>
          <t>mA</t>
        </is>
      </c>
    </row>
    <row r="34" ht="15" customHeight="1" s="75">
      <c r="A34" s="99" t="n"/>
      <c r="D34" s="19" t="n"/>
      <c r="E34" s="19" t="n"/>
      <c r="G34" s="70">
        <f>E34*F34</f>
        <v/>
      </c>
      <c r="H34" s="21" t="inlineStr">
        <is>
          <t>mA</t>
        </is>
      </c>
    </row>
    <row r="35" ht="15" customHeight="1" s="75">
      <c r="A35" s="99" t="n"/>
      <c r="B35" s="30" t="inlineStr">
        <is>
          <t xml:space="preserve">Subtotal </t>
        </is>
      </c>
      <c r="G35" s="90">
        <f>SUM(G30:G34)</f>
        <v/>
      </c>
      <c r="H35" s="21" t="inlineStr">
        <is>
          <t>mA</t>
        </is>
      </c>
    </row>
    <row r="36" ht="15" customHeight="1" s="75">
      <c r="A36" s="99" t="n"/>
      <c r="B36" s="30" t="inlineStr">
        <is>
          <t>Safety Margin</t>
        </is>
      </c>
      <c r="G36" s="31" t="n">
        <v>0.25</v>
      </c>
      <c r="H36" s="31" t="n"/>
    </row>
    <row r="37" ht="15" customHeight="1" s="75">
      <c r="A37" s="32" t="n"/>
      <c r="B37" s="33" t="inlineStr">
        <is>
          <t>Total Current Required on +5V Rail</t>
        </is>
      </c>
      <c r="G37" s="90">
        <f>G35*(1+G36)</f>
        <v/>
      </c>
      <c r="H37" s="21" t="inlineStr">
        <is>
          <t>mA</t>
        </is>
      </c>
    </row>
    <row r="38" ht="15" customHeight="1" s="75">
      <c r="A38" s="34" t="n"/>
      <c r="B38" s="35" t="n"/>
      <c r="C38" s="35" t="n"/>
      <c r="D38" s="18" t="n"/>
      <c r="E38" s="18" t="n"/>
      <c r="F38" s="36" t="n"/>
      <c r="G38" s="37" t="n"/>
      <c r="H38" s="70" t="n"/>
    </row>
    <row r="39" ht="30" customHeight="1" s="75">
      <c r="A39" s="110" t="inlineStr">
        <is>
          <t>c2. Regulator or Source Choice</t>
        </is>
      </c>
      <c r="B39" s="91" t="inlineStr">
        <is>
          <t xml:space="preserve"> +5V linear regulator</t>
        </is>
      </c>
      <c r="C39" s="91" t="inlineStr">
        <is>
          <t>L7805ABV-DG</t>
        </is>
      </c>
      <c r="D39" s="80" t="inlineStr">
        <is>
          <t>7 - 35 V</t>
        </is>
      </c>
      <c r="E39" s="80" t="n">
        <v>1</v>
      </c>
      <c r="F39" s="92" t="n">
        <v>1500</v>
      </c>
      <c r="G39" s="93">
        <f>E39*F39</f>
        <v/>
      </c>
      <c r="H39" s="84" t="inlineStr">
        <is>
          <t>mA</t>
        </is>
      </c>
    </row>
    <row r="40" ht="15" customHeight="1" s="75">
      <c r="A40" s="38" t="n"/>
      <c r="B40" s="39" t="inlineStr">
        <is>
          <t>Total Remaining Current Available on +5V Rail</t>
        </is>
      </c>
      <c r="C40" s="89" t="n"/>
      <c r="D40" s="89" t="n"/>
      <c r="E40" s="89" t="n"/>
      <c r="F40" s="89" t="n"/>
      <c r="G40" s="94">
        <f>G39-G37</f>
        <v/>
      </c>
      <c r="H40" s="21" t="inlineStr">
        <is>
          <t>mA</t>
        </is>
      </c>
    </row>
    <row r="41" ht="44" customHeight="1" s="75">
      <c r="A41" s="109" t="inlineStr">
        <is>
          <t>-5V Power Rail (not used)</t>
        </is>
      </c>
      <c r="B41" s="105" t="inlineStr">
        <is>
          <t>Component Name</t>
        </is>
      </c>
      <c r="C41" s="105" t="inlineStr">
        <is>
          <t>Part Number</t>
        </is>
      </c>
      <c r="D41" s="106" t="inlineStr">
        <is>
          <t>Supply
Voltage
Range</t>
        </is>
      </c>
      <c r="E41" s="106" t="inlineStr">
        <is>
          <t>#</t>
        </is>
      </c>
      <c r="F41" s="107" t="inlineStr">
        <is>
          <t>Absolute
Maximum
Current (mA)</t>
        </is>
      </c>
      <c r="G41" s="111" t="inlineStr">
        <is>
          <t>Total
Current
(mA)</t>
        </is>
      </c>
      <c r="H41" s="111" t="inlineStr">
        <is>
          <t>Unit</t>
        </is>
      </c>
    </row>
    <row r="42" ht="30" customHeight="1" s="75">
      <c r="A42" s="99" t="n"/>
      <c r="B42" s="85" t="inlineStr">
        <is>
          <t>None: every part is single-supply</t>
        </is>
      </c>
      <c r="C42" s="79" t="inlineStr">
        <is>
          <t>—</t>
        </is>
      </c>
      <c r="D42" s="80" t="inlineStr">
        <is>
          <t>—</t>
        </is>
      </c>
      <c r="E42" s="81" t="n">
        <v>0</v>
      </c>
      <c r="F42" s="85" t="n">
        <v>0</v>
      </c>
      <c r="G42" s="84">
        <f>E42*F42</f>
        <v/>
      </c>
      <c r="H42" s="84" t="inlineStr">
        <is>
          <t>mA</t>
        </is>
      </c>
    </row>
    <row r="43" ht="15" customHeight="1" s="75">
      <c r="A43" s="99" t="n"/>
      <c r="D43" s="19" t="n"/>
      <c r="E43" s="19" t="n"/>
      <c r="G43" s="70">
        <f>E43*F43</f>
        <v/>
      </c>
      <c r="H43" s="21" t="inlineStr">
        <is>
          <t>mA</t>
        </is>
      </c>
    </row>
    <row r="44" ht="15" customHeight="1" s="75">
      <c r="A44" s="99" t="n"/>
      <c r="D44" s="19" t="n"/>
      <c r="E44" s="19" t="n"/>
      <c r="G44" s="70">
        <f>E44*F44</f>
        <v/>
      </c>
      <c r="H44" s="21" t="inlineStr">
        <is>
          <t>mA</t>
        </is>
      </c>
    </row>
    <row r="45" ht="15" customHeight="1" s="75">
      <c r="A45" s="99" t="n"/>
      <c r="D45" s="19" t="n"/>
      <c r="E45" s="19" t="n"/>
      <c r="G45" s="70">
        <f>E45*F45</f>
        <v/>
      </c>
      <c r="H45" s="21" t="inlineStr">
        <is>
          <t>mA</t>
        </is>
      </c>
    </row>
    <row r="46" ht="15" customHeight="1" s="75">
      <c r="A46" s="99" t="n"/>
      <c r="B46" s="30" t="inlineStr">
        <is>
          <t xml:space="preserve">Subtotal </t>
        </is>
      </c>
      <c r="G46" s="70">
        <f>SUM(G41:G45)</f>
        <v/>
      </c>
      <c r="H46" s="21" t="inlineStr">
        <is>
          <t>mA</t>
        </is>
      </c>
    </row>
    <row r="47" ht="15" customHeight="1" s="75">
      <c r="A47" s="99" t="n"/>
      <c r="B47" s="30" t="inlineStr">
        <is>
          <t>Safety Margin</t>
        </is>
      </c>
      <c r="G47" s="31" t="n">
        <v>0.25</v>
      </c>
      <c r="H47" s="31" t="n"/>
    </row>
    <row r="48" ht="15" customHeight="1" s="75">
      <c r="A48" s="99" t="n"/>
      <c r="B48" s="33" t="inlineStr">
        <is>
          <t>Total Current Required on -5V Rail</t>
        </is>
      </c>
      <c r="G48" s="70">
        <f>G46*(1+G47)</f>
        <v/>
      </c>
      <c r="H48" s="21" t="inlineStr">
        <is>
          <t>mA</t>
        </is>
      </c>
    </row>
    <row r="49" ht="15" customHeight="1" s="75">
      <c r="A49" s="34" t="n"/>
      <c r="B49" s="35" t="n"/>
      <c r="C49" s="35" t="n"/>
      <c r="D49" s="18" t="n"/>
      <c r="E49" s="18" t="n"/>
      <c r="F49" s="36" t="n"/>
      <c r="G49" s="37" t="n"/>
      <c r="H49" s="70" t="n"/>
    </row>
    <row r="50" ht="30" customHeight="1" s="75">
      <c r="A50" s="110" t="inlineStr">
        <is>
          <t>c3. Regulator or Source Choice</t>
        </is>
      </c>
      <c r="B50" s="35" t="inlineStr">
        <is>
          <t>Not used (no negative rail)</t>
        </is>
      </c>
      <c r="C50" s="35" t="inlineStr">
        <is>
          <t>—</t>
        </is>
      </c>
      <c r="D50" s="18" t="inlineStr">
        <is>
          <t>—</t>
        </is>
      </c>
      <c r="E50" s="18" t="n">
        <v>0</v>
      </c>
      <c r="F50" s="36" t="n">
        <v>0</v>
      </c>
      <c r="G50" s="37">
        <f>E50*F50</f>
        <v/>
      </c>
      <c r="H50" s="21" t="inlineStr">
        <is>
          <t>mA</t>
        </is>
      </c>
    </row>
    <row r="51" ht="15" customHeight="1" s="75">
      <c r="A51" s="38" t="n"/>
      <c r="B51" s="39" t="inlineStr">
        <is>
          <t>Total Remaining Current Available on -5V Rail</t>
        </is>
      </c>
      <c r="C51" s="89" t="n"/>
      <c r="D51" s="89" t="n"/>
      <c r="E51" s="89" t="n"/>
      <c r="F51" s="89" t="n"/>
      <c r="G51" s="37">
        <f>G50-G48</f>
        <v/>
      </c>
      <c r="H51" s="21" t="inlineStr">
        <is>
          <t>mA</t>
        </is>
      </c>
    </row>
    <row r="52" ht="44" customHeight="1" s="75">
      <c r="A52" s="109" t="inlineStr">
        <is>
          <t xml:space="preserve"> +3.3V Power Rail (not used)</t>
        </is>
      </c>
      <c r="B52" s="105" t="inlineStr">
        <is>
          <t>Component Name</t>
        </is>
      </c>
      <c r="C52" s="105" t="inlineStr">
        <is>
          <t>Part Number</t>
        </is>
      </c>
      <c r="D52" s="106" t="inlineStr">
        <is>
          <t>Supply
Voltage
Range</t>
        </is>
      </c>
      <c r="E52" s="106" t="inlineStr">
        <is>
          <t>#</t>
        </is>
      </c>
      <c r="F52" s="107" t="inlineStr">
        <is>
          <t>Absolute
Maximum
Current (mA)</t>
        </is>
      </c>
      <c r="G52" s="111" t="inlineStr">
        <is>
          <t>Total
Current
(mA)</t>
        </is>
      </c>
      <c r="H52" s="111" t="inlineStr">
        <is>
          <t>Unit</t>
        </is>
      </c>
    </row>
    <row r="53" ht="30" customHeight="1" s="75">
      <c r="A53" s="99" t="n"/>
      <c r="B53" s="23" t="inlineStr">
        <is>
          <t>None on this board</t>
        </is>
      </c>
      <c r="C53" s="0" t="inlineStr">
        <is>
          <t>—</t>
        </is>
      </c>
      <c r="D53" s="18" t="inlineStr">
        <is>
          <t>—</t>
        </is>
      </c>
      <c r="E53" s="19" t="n">
        <v>0</v>
      </c>
      <c r="F53" s="0" t="n">
        <v>0</v>
      </c>
      <c r="G53" s="70">
        <f>E53*F53</f>
        <v/>
      </c>
      <c r="H53" s="21" t="inlineStr">
        <is>
          <t>mA</t>
        </is>
      </c>
    </row>
    <row r="54" ht="15" customHeight="1" s="75">
      <c r="A54" s="99" t="n"/>
      <c r="D54" s="19" t="n"/>
      <c r="E54" s="19" t="n"/>
      <c r="G54" s="70">
        <f>E54*F54</f>
        <v/>
      </c>
      <c r="H54" s="21" t="inlineStr">
        <is>
          <t>mA</t>
        </is>
      </c>
    </row>
    <row r="55" ht="15" customHeight="1" s="75">
      <c r="A55" s="99" t="n"/>
      <c r="D55" s="19" t="n"/>
      <c r="E55" s="19" t="n"/>
      <c r="G55" s="70">
        <f>E55*F55</f>
        <v/>
      </c>
      <c r="H55" s="21" t="inlineStr">
        <is>
          <t>mA</t>
        </is>
      </c>
    </row>
    <row r="56" ht="15" customHeight="1" s="75">
      <c r="A56" s="99" t="n"/>
      <c r="D56" s="19" t="n"/>
      <c r="E56" s="19" t="n"/>
      <c r="G56" s="70">
        <f>E56*F56</f>
        <v/>
      </c>
      <c r="H56" s="21" t="inlineStr">
        <is>
          <t>mA</t>
        </is>
      </c>
    </row>
    <row r="57" ht="15" customHeight="1" s="75">
      <c r="A57" s="99" t="n"/>
      <c r="B57" s="30" t="inlineStr">
        <is>
          <t xml:space="preserve">Subtotal </t>
        </is>
      </c>
      <c r="G57" s="70">
        <f>SUM(G52:G56)</f>
        <v/>
      </c>
      <c r="H57" s="21" t="inlineStr">
        <is>
          <t>mA</t>
        </is>
      </c>
    </row>
    <row r="58" ht="15" customHeight="1" s="75">
      <c r="A58" s="99" t="n"/>
      <c r="B58" s="30" t="inlineStr">
        <is>
          <t>Safety Margin</t>
        </is>
      </c>
      <c r="G58" s="31" t="n">
        <v>0.25</v>
      </c>
      <c r="H58" s="31" t="n"/>
    </row>
    <row r="59" ht="15" customHeight="1" s="75">
      <c r="A59" s="99" t="n"/>
      <c r="B59" s="33" t="inlineStr">
        <is>
          <t>Total Current Required on +3.3V Rail</t>
        </is>
      </c>
      <c r="G59" s="70">
        <f>G57*(1+G58)</f>
        <v/>
      </c>
      <c r="H59" s="21" t="inlineStr">
        <is>
          <t>mA</t>
        </is>
      </c>
    </row>
    <row r="60" ht="15" customHeight="1" s="75">
      <c r="A60" s="34" t="n"/>
      <c r="B60" s="23" t="n"/>
      <c r="D60" s="18" t="n"/>
      <c r="E60" s="19" t="n"/>
      <c r="G60" s="70" t="n"/>
      <c r="H60" s="28" t="n"/>
    </row>
    <row r="61" ht="30" customHeight="1" s="75">
      <c r="A61" s="110" t="inlineStr">
        <is>
          <t>c4. Regulator or Source Choice</t>
        </is>
      </c>
      <c r="B61" s="85" t="inlineStr">
        <is>
          <t>Not used (no +3.3 V loads)</t>
        </is>
      </c>
      <c r="C61" s="79" t="inlineStr">
        <is>
          <t>—</t>
        </is>
      </c>
      <c r="D61" s="80" t="inlineStr">
        <is>
          <t>—</t>
        </is>
      </c>
      <c r="E61" s="81" t="n">
        <v>0</v>
      </c>
      <c r="F61" s="79" t="n">
        <v>0</v>
      </c>
      <c r="G61" s="88">
        <f>E61*F61</f>
        <v/>
      </c>
      <c r="H61" s="84" t="inlineStr">
        <is>
          <t>mA</t>
        </is>
      </c>
    </row>
    <row r="62" ht="15" customHeight="1" s="75">
      <c r="A62" s="99" t="n"/>
      <c r="B62" s="43" t="inlineStr">
        <is>
          <t>Total Remaining Current Available on 3.3V Rail</t>
        </is>
      </c>
      <c r="G62" s="37">
        <f>G61-G59</f>
        <v/>
      </c>
      <c r="H62" s="21" t="inlineStr">
        <is>
          <t>mA</t>
        </is>
      </c>
    </row>
    <row r="63" ht="15" customHeight="1" s="75">
      <c r="A63" s="44" t="n"/>
      <c r="B63" s="45" t="n"/>
      <c r="C63" s="45" t="n"/>
      <c r="D63" s="45" t="n"/>
      <c r="E63" s="45" t="n"/>
      <c r="F63" s="45" t="n"/>
      <c r="G63" s="46" t="n"/>
      <c r="H63" s="47" t="n"/>
    </row>
    <row r="64" ht="30" customHeight="1" s="75">
      <c r="A64" s="78" t="inlineStr">
        <is>
          <t>C. For each power rail above, select a specific voltage regulator using the same process as for major component selection. Confirm that the Total Remaining Current Available on each rail above is not negative.</t>
        </is>
      </c>
      <c r="B64" s="76" t="n"/>
      <c r="C64" s="76" t="n"/>
      <c r="D64" s="76" t="n"/>
      <c r="E64" s="76" t="n"/>
      <c r="F64" s="76" t="n"/>
      <c r="G64" s="76" t="n"/>
      <c r="H64" s="77" t="n"/>
    </row>
    <row r="65" ht="15" customHeight="1" s="75">
      <c r="A65" s="95" t="n"/>
      <c r="B65" s="89" t="n"/>
      <c r="C65" s="89" t="n"/>
      <c r="D65" s="89" t="n"/>
      <c r="E65" s="89" t="n"/>
      <c r="F65" s="89" t="n"/>
      <c r="G65" s="89" t="n"/>
      <c r="H65" s="96" t="n"/>
    </row>
    <row r="66" ht="44" customHeight="1" s="75">
      <c r="A66" s="78" t="inlineStr">
        <is>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is>
      </c>
      <c r="B66" s="76" t="n"/>
      <c r="C66" s="76" t="n"/>
      <c r="D66" s="76" t="n"/>
      <c r="E66" s="76" t="n"/>
      <c r="F66" s="76" t="n"/>
      <c r="G66" s="76" t="n"/>
      <c r="H66" s="77" t="n"/>
    </row>
    <row r="67" ht="44" customHeight="1" s="75">
      <c r="A67" s="109" t="inlineStr">
        <is>
          <t>External Power Source 1</t>
        </is>
      </c>
      <c r="B67" s="105" t="inlineStr">
        <is>
          <t>Component Name</t>
        </is>
      </c>
      <c r="C67" s="105" t="inlineStr">
        <is>
          <t>Part Number</t>
        </is>
      </c>
      <c r="D67" s="106" t="inlineStr">
        <is>
          <t>Supply
Voltage
Range</t>
        </is>
      </c>
      <c r="E67" s="106" t="inlineStr">
        <is>
          <t>Output Voltage</t>
        </is>
      </c>
      <c r="F67" s="107" t="inlineStr">
        <is>
          <t>Absolute
Maximum
Current (mA)</t>
        </is>
      </c>
      <c r="G67" s="111" t="inlineStr">
        <is>
          <t>Total
Current
(mA)</t>
        </is>
      </c>
      <c r="H67" s="111" t="inlineStr">
        <is>
          <t>Unit</t>
        </is>
      </c>
    </row>
    <row r="68" ht="44" customHeight="1" s="75">
      <c r="A68" s="51" t="inlineStr">
        <is>
          <t>Power Source 1 Selection</t>
        </is>
      </c>
      <c r="B68" s="91" t="inlineStr">
        <is>
          <t>9 V 3 A plug-in wall adapter (switching), issued in class</t>
        </is>
      </c>
      <c r="C68" s="80" t="inlineStr">
        <is>
          <t>BestCH 9V 3A (Amazon B09ZTKTLGW)</t>
        </is>
      </c>
      <c r="D68" s="80" t="inlineStr">
        <is>
          <t>100 - 240 VAC</t>
        </is>
      </c>
      <c r="E68" s="80" t="inlineStr">
        <is>
          <t xml:space="preserve"> +9V</t>
        </is>
      </c>
      <c r="F68" s="92" t="n">
        <v>3000</v>
      </c>
      <c r="G68" s="97" t="n">
        <v>3000</v>
      </c>
      <c r="H68" s="98" t="inlineStr">
        <is>
          <t>mA</t>
        </is>
      </c>
    </row>
    <row r="69" ht="15" customHeight="1" s="75">
      <c r="A69" s="54" t="n"/>
      <c r="B69" s="35" t="n"/>
      <c r="C69" s="35" t="n"/>
      <c r="D69" s="18" t="n"/>
      <c r="E69" s="18" t="n"/>
      <c r="F69" s="36" t="n"/>
      <c r="G69" s="37" t="n"/>
      <c r="H69" s="55" t="n"/>
    </row>
    <row r="70" ht="30" customHeight="1" s="75">
      <c r="A70" s="56" t="inlineStr">
        <is>
          <t>Power Rails Connected to External Power Source 1</t>
        </is>
      </c>
      <c r="B70" s="35" t="inlineStr">
        <is>
          <t>+12V regulator (not used)</t>
        </is>
      </c>
      <c r="C70" s="35" t="inlineStr">
        <is>
          <t>—</t>
        </is>
      </c>
      <c r="D70" s="18" t="inlineStr">
        <is>
          <t>—</t>
        </is>
      </c>
      <c r="E70" s="18" t="n">
        <v>0</v>
      </c>
      <c r="F70" s="36" t="n">
        <v>0</v>
      </c>
      <c r="G70" s="37">
        <f>E70*F70</f>
        <v/>
      </c>
      <c r="H70" s="21" t="inlineStr">
        <is>
          <t>mA</t>
        </is>
      </c>
    </row>
    <row r="71" ht="30" customHeight="1" s="75">
      <c r="A71" s="99" t="n"/>
      <c r="B71" s="35" t="inlineStr">
        <is>
          <t xml:space="preserve"> +5V linear regulator</t>
        </is>
      </c>
      <c r="C71" s="35" t="inlineStr">
        <is>
          <t>L7805ABV-DG</t>
        </is>
      </c>
      <c r="D71" s="18" t="inlineStr">
        <is>
          <t>7 - 35 V</t>
        </is>
      </c>
      <c r="E71" s="18" t="n">
        <v>1</v>
      </c>
      <c r="F71" s="36" t="n">
        <v>1500</v>
      </c>
      <c r="G71" s="37">
        <f>E71*F71</f>
        <v/>
      </c>
      <c r="H71" s="21" t="inlineStr">
        <is>
          <t>mA</t>
        </is>
      </c>
    </row>
    <row r="72" ht="30" customHeight="1" s="75">
      <c r="A72" s="99" t="n"/>
      <c r="B72" s="23" t="inlineStr">
        <is>
          <t>+3.3V regulator (not used)</t>
        </is>
      </c>
      <c r="C72" s="0" t="inlineStr">
        <is>
          <t>—</t>
        </is>
      </c>
      <c r="D72" s="18" t="inlineStr">
        <is>
          <t>—</t>
        </is>
      </c>
      <c r="E72" s="19" t="n">
        <v>0</v>
      </c>
      <c r="F72" s="0" t="n">
        <v>0</v>
      </c>
      <c r="G72" s="70">
        <f>E72*F72</f>
        <v/>
      </c>
      <c r="H72" s="21" t="inlineStr">
        <is>
          <t>mA</t>
        </is>
      </c>
    </row>
    <row r="73" ht="15" customHeight="1" s="75">
      <c r="A73" s="54" t="n"/>
      <c r="B73" s="43" t="inlineStr">
        <is>
          <t>Total Remaining Current Available on External Power Source 1</t>
        </is>
      </c>
      <c r="G73" s="100">
        <f>G68-SUM(G70:G72)</f>
        <v/>
      </c>
      <c r="H73" s="53" t="inlineStr">
        <is>
          <t>mA</t>
        </is>
      </c>
    </row>
    <row r="74" ht="15" customHeight="1" s="75">
      <c r="A74" s="54" t="n"/>
      <c r="B74" s="4" t="n"/>
      <c r="C74" s="4" t="n"/>
      <c r="D74" s="27" t="n"/>
      <c r="E74" s="27" t="n"/>
      <c r="F74" s="27" t="n"/>
      <c r="G74" s="58" t="n"/>
      <c r="H74" s="59" t="n"/>
    </row>
    <row r="75" ht="44" customHeight="1" s="75">
      <c r="A75" s="109" t="inlineStr">
        <is>
          <t>External Power Source 2 (not used)</t>
        </is>
      </c>
      <c r="B75" s="105" t="inlineStr">
        <is>
          <t>Component Name</t>
        </is>
      </c>
      <c r="C75" s="105" t="inlineStr">
        <is>
          <t>Part Number</t>
        </is>
      </c>
      <c r="D75" s="106" t="inlineStr">
        <is>
          <t>Supply
Voltage
Range</t>
        </is>
      </c>
      <c r="E75" s="106" t="inlineStr">
        <is>
          <t>Output Voltage</t>
        </is>
      </c>
      <c r="F75" s="107" t="inlineStr">
        <is>
          <t>Absolute
Maximum
Current (mA)</t>
        </is>
      </c>
      <c r="G75" s="111" t="inlineStr">
        <is>
          <t>Total
Current
(mA)</t>
        </is>
      </c>
      <c r="H75" s="111" t="inlineStr">
        <is>
          <t>Unit</t>
        </is>
      </c>
    </row>
    <row r="76" ht="30" customHeight="1" s="75">
      <c r="A76" s="51" t="inlineStr">
        <is>
          <t>Power Source 2 Selection</t>
        </is>
      </c>
      <c r="B76" s="35" t="inlineStr">
        <is>
          <t>Not used (single 9 V adapter)</t>
        </is>
      </c>
      <c r="C76" s="18" t="inlineStr">
        <is>
          <t>—</t>
        </is>
      </c>
      <c r="D76" s="18" t="inlineStr">
        <is>
          <t>—</t>
        </is>
      </c>
      <c r="E76" s="18" t="inlineStr">
        <is>
          <t>—</t>
        </is>
      </c>
      <c r="F76" s="36" t="n">
        <v>0</v>
      </c>
      <c r="G76" s="52" t="n">
        <v>0</v>
      </c>
      <c r="H76" s="53" t="inlineStr">
        <is>
          <t>mA</t>
        </is>
      </c>
    </row>
    <row r="77" ht="15" customHeight="1" s="75">
      <c r="A77" s="54" t="n"/>
      <c r="B77" s="35" t="n"/>
      <c r="C77" s="35" t="n"/>
      <c r="D77" s="18" t="n"/>
      <c r="E77" s="18" t="n"/>
      <c r="F77" s="36" t="n"/>
      <c r="G77" s="37" t="n"/>
      <c r="H77" s="55" t="n"/>
    </row>
    <row r="78" ht="30" customHeight="1" s="75">
      <c r="A78" s="56" t="inlineStr">
        <is>
          <t>Power Rails Connected to External Power Source 2</t>
        </is>
      </c>
      <c r="B78" s="35" t="inlineStr">
        <is>
          <t>-5V regulator (not used)</t>
        </is>
      </c>
      <c r="C78" s="35" t="inlineStr">
        <is>
          <t>—</t>
        </is>
      </c>
      <c r="D78" s="18" t="inlineStr">
        <is>
          <t>—</t>
        </is>
      </c>
      <c r="E78" s="18" t="n">
        <v>0</v>
      </c>
      <c r="F78" s="36" t="n">
        <v>0</v>
      </c>
      <c r="G78" s="37">
        <f>E78*F78</f>
        <v/>
      </c>
      <c r="H78" s="21" t="inlineStr">
        <is>
          <t>mA</t>
        </is>
      </c>
    </row>
    <row r="79" ht="15" customHeight="1" s="75">
      <c r="A79" s="99" t="n"/>
      <c r="B79" s="35" t="n"/>
      <c r="C79" s="35" t="n"/>
      <c r="D79" s="18" t="n"/>
      <c r="E79" s="18" t="n"/>
      <c r="F79" s="36" t="n"/>
      <c r="G79" s="37" t="n"/>
      <c r="H79" s="21" t="n"/>
    </row>
    <row r="80" ht="15" customHeight="1" s="75">
      <c r="A80" s="99" t="n"/>
      <c r="B80" s="23" t="n"/>
      <c r="D80" s="18" t="n"/>
      <c r="E80" s="19" t="n"/>
      <c r="G80" s="70" t="n"/>
      <c r="H80" s="21" t="n"/>
    </row>
    <row r="81" ht="15" customHeight="1" s="75">
      <c r="A81" s="54" t="n"/>
      <c r="B81" s="43" t="inlineStr">
        <is>
          <t>Total Remaining Current Available on External Power Source 2</t>
        </is>
      </c>
      <c r="G81" s="52">
        <f>G76-SUM(G78:G80)</f>
        <v/>
      </c>
      <c r="H81" s="53" t="inlineStr">
        <is>
          <t>mA</t>
        </is>
      </c>
    </row>
    <row r="82" ht="15" customHeight="1" s="75">
      <c r="A82" s="32" t="n"/>
      <c r="B82" s="23" t="n"/>
      <c r="D82" s="60" t="n"/>
      <c r="E82" s="18" t="n"/>
      <c r="F82" s="23" t="n"/>
      <c r="G82" s="70" t="n"/>
      <c r="H82" s="61" t="n"/>
    </row>
    <row r="83" ht="30" customHeight="1" s="75">
      <c r="A83" s="101" t="inlineStr">
        <is>
          <t>E. Calculate Battery Life (if applicable).  For each battery, also check the worst-case lifetime of the battery by indicating the capacity in mAh.</t>
        </is>
      </c>
      <c r="B83" s="76" t="n"/>
      <c r="C83" s="76" t="n"/>
      <c r="D83" s="76" t="n"/>
      <c r="E83" s="76" t="n"/>
      <c r="F83" s="76" t="n"/>
      <c r="G83" s="63" t="n"/>
      <c r="H83" s="63" t="n"/>
    </row>
    <row r="84" ht="44" customHeight="1" s="75">
      <c r="A84" s="112" t="n"/>
      <c r="B84" s="113" t="inlineStr">
        <is>
          <t>Component Name</t>
        </is>
      </c>
      <c r="C84" s="113" t="inlineStr">
        <is>
          <t>Part Number</t>
        </is>
      </c>
      <c r="D84" s="114" t="inlineStr">
        <is>
          <t>Supply
Voltage
Range</t>
        </is>
      </c>
      <c r="E84" s="114" t="n"/>
      <c r="F84" s="115" t="inlineStr">
        <is>
          <t>Capacity
(mAh)</t>
        </is>
      </c>
      <c r="G84" s="116" t="inlineStr">
        <is>
          <t>Required
By
Regulators</t>
        </is>
      </c>
      <c r="H84" s="117" t="n"/>
    </row>
    <row r="85" ht="30" customHeight="1" s="75">
      <c r="A85" s="99" t="n"/>
      <c r="B85" s="0" t="inlineStr">
        <is>
          <t>No battery (wall-powered board)</t>
        </is>
      </c>
      <c r="C85" s="0" t="inlineStr">
        <is>
          <t>—</t>
        </is>
      </c>
      <c r="D85" s="18" t="inlineStr">
        <is>
          <t>—</t>
        </is>
      </c>
      <c r="E85" s="19" t="n"/>
      <c r="F85" s="23" t="inlineStr">
        <is>
          <t>N/A</t>
        </is>
      </c>
      <c r="G85" s="70" t="n">
        <v>0</v>
      </c>
      <c r="H85" s="70" t="n"/>
    </row>
    <row r="86" ht="15" customHeight="1" s="75">
      <c r="A86" s="99" t="n"/>
      <c r="D86" s="19" t="n"/>
      <c r="E86" s="19" t="n"/>
      <c r="F86" s="30" t="inlineStr">
        <is>
          <t>Battery Life</t>
        </is>
      </c>
      <c r="G86" s="70" t="inlineStr">
        <is>
          <t>N/A</t>
        </is>
      </c>
      <c r="H86" s="21" t="n"/>
    </row>
    <row r="87" ht="15" customHeight="1" s="75">
      <c r="A87" s="71" t="inlineStr">
        <is>
          <t>Notes</t>
        </is>
      </c>
      <c r="G87" s="72" t="n"/>
      <c r="H87" s="72" t="n"/>
    </row>
    <row r="88" ht="30" customHeight="1" s="75">
      <c r="A88" s="85" t="inlineStr">
        <is>
          <t>External Supply Voltage should be determined by the dropout voltage for highest-voltage regulator (e.g., +14V for a +12V regulator).</t>
        </is>
      </c>
    </row>
    <row r="89" ht="30" customHeight="1" s="75">
      <c r="A89" s="102" t="inlineStr">
        <is>
          <t>If you have multiple units in your design (e.g., a base unit and remote unit) then you need a separate power budget for each unit</t>
        </is>
      </c>
    </row>
    <row r="90" ht="46" customHeight="1" s="75">
      <c r="A90" s="103" t="inlineStr">
        <is>
          <t>Absolute maximum currents are worst-case datasheet limits: PIC18F57Q43 maximum current on VDD pin 350 mA (48-pin device, -40 to +85 C); INA125P quiescent current 0.525 mA max plus 12 mA output short-circuit current; load cell 5 V excitation across its 1 kOhm bridge = 5 mA. The MCP6004 was removed: the INA125P alone sets the gain and a passive RC filter (no current draw) replaces the active filter.</t>
        </is>
      </c>
    </row>
    <row r="91" ht="46" customHeight="1" s="75">
      <c r="A91" s="103" t="inlineStr">
        <is>
          <t>Worst-case L7805ABV-DG dissipation: (9 V - 5 V) x 459 mA = 1.8 W, so the regulator gets a Boyd 507302B00000G TO-220 heatsink. Expected normal draw is under 100 mA (about 0.4 W).</t>
        </is>
      </c>
    </row>
  </sheetData>
  <mergeCells count="36">
    <mergeCell ref="B47:F47"/>
    <mergeCell ref="B62:F62"/>
    <mergeCell ref="B81:F81"/>
    <mergeCell ref="B25:F25"/>
    <mergeCell ref="B59:F59"/>
    <mergeCell ref="A64:H64"/>
    <mergeCell ref="B46:F46"/>
    <mergeCell ref="B5:E5"/>
    <mergeCell ref="A1:H1"/>
    <mergeCell ref="B58:F58"/>
    <mergeCell ref="A88:H88"/>
    <mergeCell ref="B4:E4"/>
    <mergeCell ref="A7:H7"/>
    <mergeCell ref="B48:F48"/>
    <mergeCell ref="A65:H65"/>
    <mergeCell ref="A16:H16"/>
    <mergeCell ref="A90:H90"/>
    <mergeCell ref="B23:F23"/>
    <mergeCell ref="A66:H66"/>
    <mergeCell ref="B3:E3"/>
    <mergeCell ref="A89:H89"/>
    <mergeCell ref="B57:F57"/>
    <mergeCell ref="B73:F73"/>
    <mergeCell ref="A70:A72"/>
    <mergeCell ref="B28:F28"/>
    <mergeCell ref="B37:F37"/>
    <mergeCell ref="A83:F83"/>
    <mergeCell ref="B2:E2"/>
    <mergeCell ref="B40:F40"/>
    <mergeCell ref="A78:A80"/>
    <mergeCell ref="A91:H91"/>
    <mergeCell ref="B24:F24"/>
    <mergeCell ref="B51:F51"/>
    <mergeCell ref="B36:F36"/>
    <mergeCell ref="A87:F87"/>
    <mergeCell ref="B35:F35"/>
  </mergeCells>
  <conditionalFormatting sqref="G28 G40 G51 G62">
    <cfRule type="cellIs" priority="1" operator="lessThan" dxfId="0">
      <formula>0</formula>
    </cfRule>
  </conditionalFormatting>
  <pageMargins left="0.75" right="0.75" top="1" bottom="1" header="0.5" footer="0.5"/>
  <pageSetup orientation="portrait" fitToHeight="0" fitToWidth="1"/>
  <rowBreaks count="2" manualBreakCount="2">
    <brk id="28" min="0" max="16383" man="1"/>
    <brk id="63"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2026-10-16T20:38:01Z</dcterms:created>
  <dcterms:modified xmlns:dcterms="http://purl.org/dc/terms/" xmlns:xsi="http://www.w3.org/2001/XMLSchema-instance" xsi:type="dcterms:W3CDTF">2026-10-26T07:56:36Z</dcterms:modified>
</cp:coreProperties>
</file>